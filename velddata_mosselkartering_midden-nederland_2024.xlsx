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Informatie" sheetId="1" state="visible" r:id="rId3"/>
    <sheet name="Bijlage 4" sheetId="2" state="visible" r:id="rId4"/>
    <sheet name="Bijlage 5a" sheetId="3" state="visible" r:id="rId5"/>
    <sheet name="Bijlage 5b" sheetId="4" state="visible" r:id="rId6"/>
    <sheet name="Bijlage 6" sheetId="5" state="visible" r:id="rId7"/>
    <sheet name="Bijlage 7" sheetId="6" state="visible" r:id="rId8"/>
  </sheets>
  <definedNames>
    <definedName function="false" hidden="true" localSheetId="1" name="_xlnm._FilterDatabase" vbProcedure="false">'Bijlage 4'!$A$2:$AF$88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<sst xmlns="http://schemas.openxmlformats.org/spreadsheetml/2006/main" count="2211" uniqueCount="156">
  <si>
    <t xml:space="preserve">Bemonsteringsdata: 16 oktober t/m 1 november</t>
  </si>
  <si>
    <t xml:space="preserve">Op alle locaties is een Van Veenhapper gebruikt met bemonsteringsoppervlak van 260 cm2</t>
  </si>
  <si>
    <t xml:space="preserve">Op elke locatie zijn 5 happen genomen, binnen 10 meter vanaf de hoofdlocatie</t>
  </si>
  <si>
    <t xml:space="preserve">Asvrij droog vleesgewicht (ADV) bepaald van driehoeks- en quaggamosselen (dit voor beide methoden (vlees verwijderd en schelp aan 1 kant open))</t>
  </si>
  <si>
    <t xml:space="preserve">Drooggewicht: 48 uur bij 760graden C.</t>
  </si>
  <si>
    <t xml:space="preserve">Asrest: 4 uur bij 490 graden C.</t>
  </si>
  <si>
    <t xml:space="preserve">Sedimenttype:</t>
  </si>
  <si>
    <t xml:space="preserve">Percentage lutumgehalte</t>
  </si>
  <si>
    <t xml:space="preserve">PAS= Primair aanhechtingsubstraat:</t>
  </si>
  <si>
    <t xml:space="preserve">K</t>
  </si>
  <si>
    <t xml:space="preserve">Klei</t>
  </si>
  <si>
    <t xml:space="preserve">Omschrijving</t>
  </si>
  <si>
    <t xml:space="preserve">Beoordeling</t>
  </si>
  <si>
    <t xml:space="preserve">Percentage</t>
  </si>
  <si>
    <t xml:space="preserve">D</t>
  </si>
  <si>
    <t xml:space="preserve">Dreissena</t>
  </si>
  <si>
    <t xml:space="preserve">Z</t>
  </si>
  <si>
    <t xml:space="preserve">Zand</t>
  </si>
  <si>
    <t xml:space="preserve">Klei-arm zand. Strandzand</t>
  </si>
  <si>
    <t xml:space="preserve">Schuurt tussen duim en wijsvinger.</t>
  </si>
  <si>
    <t xml:space="preserve">0-2%</t>
  </si>
  <si>
    <t xml:space="preserve">M</t>
  </si>
  <si>
    <t xml:space="preserve">Mytilus</t>
  </si>
  <si>
    <t xml:space="preserve">Z/s</t>
  </si>
  <si>
    <t xml:space="preserve">Meest zand (met slib)</t>
  </si>
  <si>
    <t xml:space="preserve">Kleihoudend zand</t>
  </si>
  <si>
    <t xml:space="preserve">Iets vuil, smeert ietsje. Schuurt nog onverminderd, klein slibwolkje als je het in een plas gooit.</t>
  </si>
  <si>
    <t xml:space="preserve">2-5%</t>
  </si>
  <si>
    <t xml:space="preserve">C</t>
  </si>
  <si>
    <t xml:space="preserve">Corbicula</t>
  </si>
  <si>
    <t xml:space="preserve">V</t>
  </si>
  <si>
    <t xml:space="preserve">Veen</t>
  </si>
  <si>
    <t xml:space="preserve">Kleiig zand/ slibbig zand</t>
  </si>
  <si>
    <t xml:space="preserve">Smeert. Bij knijpen gaat een klein deel tussen de vingers door.</t>
  </si>
  <si>
    <t xml:space="preserve">5-8%</t>
  </si>
  <si>
    <t xml:space="preserve">Zuiderzeeschelpen</t>
  </si>
  <si>
    <t xml:space="preserve">S</t>
  </si>
  <si>
    <t xml:space="preserve">Slib</t>
  </si>
  <si>
    <t xml:space="preserve">Zeer lichte zavel</t>
  </si>
  <si>
    <t xml:space="preserve">Smeert goed.  Bij knijpen grotendeels weg, iets zand over in de hand.</t>
  </si>
  <si>
    <t xml:space="preserve">8-12%</t>
  </si>
  <si>
    <t xml:space="preserve">N</t>
  </si>
  <si>
    <t xml:space="preserve">Najaden (o.a. zwanenmossels)</t>
  </si>
  <si>
    <t xml:space="preserve">S/z</t>
  </si>
  <si>
    <t xml:space="preserve">Meest slib (met zand)</t>
  </si>
  <si>
    <t xml:space="preserve">Matig lichte zavel</t>
  </si>
  <si>
    <t xml:space="preserve">Smeert goed. Zand alleen nog goed te voelen tussen duim en wijsvinger.</t>
  </si>
  <si>
    <t xml:space="preserve">12-17%</t>
  </si>
  <si>
    <t xml:space="preserve">W</t>
  </si>
  <si>
    <t xml:space="preserve">Waterplanten</t>
  </si>
  <si>
    <t xml:space="preserve">G</t>
  </si>
  <si>
    <t xml:space="preserve">Grind</t>
  </si>
  <si>
    <t xml:space="preserve">Zware zavel</t>
  </si>
  <si>
    <t xml:space="preserve">Smeert goed. Bijna geen zand meer te voelen. Klei wil niet meer van vingers afspoelen.</t>
  </si>
  <si>
    <t xml:space="preserve">17-25%</t>
  </si>
  <si>
    <t xml:space="preserve">Overig</t>
  </si>
  <si>
    <t xml:space="preserve">X</t>
  </si>
  <si>
    <t xml:space="preserve">Grof materiaal (stenen, schelpen)</t>
  </si>
  <si>
    <t xml:space="preserve">Lichte klei</t>
  </si>
  <si>
    <t xml:space="preserve">Bijna stopverf, als molykote tussen duim en vinger. Zand alleen nog te proeven.</t>
  </si>
  <si>
    <t xml:space="preserve">25-35%</t>
  </si>
  <si>
    <t xml:space="preserve">Y</t>
  </si>
  <si>
    <t xml:space="preserve">Anders</t>
  </si>
  <si>
    <t xml:space="preserve">Zware klei</t>
  </si>
  <si>
    <t xml:space="preserve">Bijna stopverf, als molykote tussen duim en vinger. Geen zand meer te proeven.</t>
  </si>
  <si>
    <t xml:space="preserve">&gt;35%</t>
  </si>
  <si>
    <t xml:space="preserve">Coordinaten gepland (RD)</t>
  </si>
  <si>
    <t xml:space="preserve">Coordinaten uitgevoerd (RD)</t>
  </si>
  <si>
    <t xml:space="preserve">Biovolumes (ml)</t>
  </si>
  <si>
    <t xml:space="preserve">Biovolume (ml)</t>
  </si>
  <si>
    <t xml:space="preserve">Aantallen</t>
  </si>
  <si>
    <t xml:space="preserve">Sedimenttype (k, z, z/s, v, y, s, s/z, g, x) per hap</t>
  </si>
  <si>
    <t xml:space="preserve">Percentage lutum per hap</t>
  </si>
  <si>
    <t xml:space="preserve">PAS (D, M, C, Z, N, W, O) per hap </t>
  </si>
  <si>
    <t xml:space="preserve">Deelgebied</t>
  </si>
  <si>
    <t xml:space="preserve">Locatie</t>
  </si>
  <si>
    <t xml:space="preserve">x</t>
  </si>
  <si>
    <t xml:space="preserve">y</t>
  </si>
  <si>
    <t xml:space="preserve">Datum</t>
  </si>
  <si>
    <t xml:space="preserve">Waterdiepte (m)</t>
  </si>
  <si>
    <t xml:space="preserve">Driehoeksmossel</t>
  </si>
  <si>
    <t xml:space="preserve">Quaggamossel</t>
  </si>
  <si>
    <t xml:space="preserve">Mytilidae</t>
  </si>
  <si>
    <t xml:space="preserve">Najaden</t>
  </si>
  <si>
    <t xml:space="preserve">Monsters lab</t>
  </si>
  <si>
    <t xml:space="preserve">Weer</t>
  </si>
  <si>
    <t xml:space="preserve">Opmerkingen</t>
  </si>
  <si>
    <t xml:space="preserve">Markermeer Noord</t>
  </si>
  <si>
    <t xml:space="preserve">-</t>
  </si>
  <si>
    <t xml:space="preserve">z/s</t>
  </si>
  <si>
    <t xml:space="preserve">z</t>
  </si>
  <si>
    <t xml:space="preserve">12-17</t>
  </si>
  <si>
    <t xml:space="preserve">8-12</t>
  </si>
  <si>
    <t xml:space="preserve">z,d</t>
  </si>
  <si>
    <t xml:space="preserve">Ja</t>
  </si>
  <si>
    <t xml:space="preserve">Bewolkt,  ZO3-4, 14 C°</t>
  </si>
  <si>
    <t xml:space="preserve">s</t>
  </si>
  <si>
    <t xml:space="preserve">17-25</t>
  </si>
  <si>
    <t xml:space="preserve">Nee</t>
  </si>
  <si>
    <t xml:space="preserve">d</t>
  </si>
  <si>
    <t xml:space="preserve">d,c</t>
  </si>
  <si>
    <t xml:space="preserve">Hoornse Hop</t>
  </si>
  <si>
    <t xml:space="preserve">k</t>
  </si>
  <si>
    <t xml:space="preserve">s/z</t>
  </si>
  <si>
    <t xml:space="preserve">&gt;35</t>
  </si>
  <si>
    <t xml:space="preserve">Bewolkt, O1-2, 12 C°</t>
  </si>
  <si>
    <t xml:space="preserve">5-8</t>
  </si>
  <si>
    <t xml:space="preserve">2-5</t>
  </si>
  <si>
    <t xml:space="preserve">Bewolkt, Z1-3, 20 C°</t>
  </si>
  <si>
    <t xml:space="preserve">25-35</t>
  </si>
  <si>
    <t xml:space="preserve">z,x</t>
  </si>
  <si>
    <t xml:space="preserve">c</t>
  </si>
  <si>
    <t xml:space="preserve">k,x</t>
  </si>
  <si>
    <t xml:space="preserve">k,x </t>
  </si>
  <si>
    <t xml:space="preserve">Markermeer-Midden</t>
  </si>
  <si>
    <t xml:space="preserve">s,k</t>
  </si>
  <si>
    <t xml:space="preserve">v,k</t>
  </si>
  <si>
    <t xml:space="preserve">v</t>
  </si>
  <si>
    <t xml:space="preserve">v,s</t>
  </si>
  <si>
    <t xml:space="preserve">Bewolkt, ZO3-4, 20 C°</t>
  </si>
  <si>
    <t xml:space="preserve">s/z,x</t>
  </si>
  <si>
    <t xml:space="preserve">s,x</t>
  </si>
  <si>
    <t xml:space="preserve">Veel dode quagga mosselen</t>
  </si>
  <si>
    <t xml:space="preserve">Locatie is 300 meter naast het geplande punt uitgevoerd, waarschijnlijk door verkeerde invoer van coördinaat.</t>
  </si>
  <si>
    <t xml:space="preserve">Markermeer-Zuid</t>
  </si>
  <si>
    <t xml:space="preserve">Bewolkt, ZW2-3, 15 C°</t>
  </si>
  <si>
    <t xml:space="preserve">Bewolkt, ZW1-3, 16 C°</t>
  </si>
  <si>
    <t xml:space="preserve">z,d,c</t>
  </si>
  <si>
    <t xml:space="preserve">IJmeer</t>
  </si>
  <si>
    <t xml:space="preserve">Gouwzee</t>
  </si>
  <si>
    <t xml:space="preserve">z/s,x</t>
  </si>
  <si>
    <t xml:space="preserve">Eén hap met bijna alleen schelpen, overige happen alleen maar slib.</t>
  </si>
  <si>
    <t xml:space="preserve">Aantallen aangetroffen mosselen in de meegenomen monsters</t>
  </si>
  <si>
    <t xml:space="preserve">Lengteklasse (mm)</t>
  </si>
  <si>
    <t xml:space="preserve">Markeermeer Midden</t>
  </si>
  <si>
    <t xml:space="preserve">Markermeer Zuid</t>
  </si>
  <si>
    <t xml:space="preserve">Ijmeer </t>
  </si>
  <si>
    <t xml:space="preserve">Totaal</t>
  </si>
  <si>
    <t xml:space="preserve">Bugensis</t>
  </si>
  <si>
    <t xml:space="preserve">Polymorpha</t>
  </si>
  <si>
    <t xml:space="preserve">Procentuele verspreiding van de lengteklassen per soort per deelgebied</t>
  </si>
  <si>
    <t xml:space="preserve">Markerneer Midden</t>
  </si>
  <si>
    <t xml:space="preserve">Ijmeer</t>
  </si>
  <si>
    <t xml:space="preserve">Gemiddeld ADV van lengteklassen van de quagga- en driehoeksmossel in de deelgebieden</t>
  </si>
  <si>
    <t xml:space="preserve">Tabel 2: V4 van A2.120: Schelp aan 1 kant opengemaakt gehaald alvorens te verassen, vlees verast in schelp</t>
  </si>
  <si>
    <t xml:space="preserve">SL (mm)</t>
  </si>
  <si>
    <t xml:space="preserve">Markermeer Midden</t>
  </si>
  <si>
    <t xml:space="preserve">D. bugensis</t>
  </si>
  <si>
    <t xml:space="preserve">D. polymorpha</t>
  </si>
  <si>
    <t xml:space="preserve">ADV/mossel</t>
  </si>
  <si>
    <t xml:space="preserve">N bugensis</t>
  </si>
  <si>
    <t xml:space="preserve">N polymorpha</t>
  </si>
  <si>
    <t xml:space="preserve">Berekende ADV van de quagga- en driehoeksmosselen op de monsterlocaties</t>
  </si>
  <si>
    <t xml:space="preserve">Nieuwe methode (in schelp)</t>
  </si>
  <si>
    <t xml:space="preserve">Berekend ADV bugensis (mg/m2)</t>
  </si>
  <si>
    <t xml:space="preserve">Berekend ADV polymorpha (mg/m2)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</si>
</sst>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d/m/yyyy"/>
    <numFmt numFmtId="167" formatCode="0.0"/>
    <numFmt numFmtId="168" formatCode="0.00"/>
    <numFmt numFmtId="169" formatCode="0.00%"/>
  </numFmts>
  <fonts count="5">
    <font>
      <sz val="10"/>
      <color theme="1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 Light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"/>
        <bgColor rgb="FFBDD7EE"/>
      </patternFill>
    </fill>
    <fill>
      <patternFill patternType="solid">
        <fgColor theme="8" tint="0.5999"/>
        <bgColor rgb="FFB4C7E7"/>
      </patternFill>
    </fill>
    <fill>
      <patternFill patternType="solid">
        <fgColor theme="8" tint="0.7999"/>
        <bgColor rgb="FFCCFFFF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/>
      <top style="thin"/>
      <bottom style="thick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a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4" activeCellId="0" sqref="B34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27"/>
    <col collapsed="false" customWidth="true" hidden="false" outlineLevel="0" max="4" min="4" style="1" width="23.14"/>
    <col collapsed="false" customWidth="true" hidden="false" outlineLevel="0" max="5" min="5" style="1" width="74.28"/>
    <col collapsed="false" customWidth="true" hidden="false" outlineLevel="0" max="6" min="6" style="1" width="10.72"/>
    <col collapsed="false" customWidth="true" hidden="false" outlineLevel="0" max="7" min="7" style="1" width="9.29"/>
    <col collapsed="false" customWidth="true" hidden="false" outlineLevel="0" max="9" min="9" style="1" width="24.43"/>
  </cols>
  <sheetData>
    <row r="1" customFormat="false" ht="12.75" hidden="false" customHeight="false" outlineLevel="0" collapsed="false">
      <c r="A1" s="1" t="s">
        <v>0</v>
      </c>
    </row>
    <row r="3" customFormat="false" ht="12.75" hidden="false" customHeight="false" outlineLevel="0" collapsed="false">
      <c r="A3" s="1" t="s">
        <v>1</v>
      </c>
      <c r="E3" s="1" t="n">
        <f aca="false">5*260</f>
        <v>1300</v>
      </c>
      <c r="F3" s="1" t="n">
        <f aca="false">E3/10000</f>
        <v>0.13</v>
      </c>
    </row>
    <row r="4" customFormat="false" ht="12.75" hidden="false" customHeight="false" outlineLevel="0" collapsed="false">
      <c r="A4" s="1" t="s">
        <v>2</v>
      </c>
    </row>
    <row r="6" customFormat="false" ht="12.75" hidden="false" customHeight="false" outlineLevel="0" collapsed="false">
      <c r="A6" s="1" t="s">
        <v>3</v>
      </c>
    </row>
    <row r="7" customFormat="false" ht="12.75" hidden="false" customHeight="false" outlineLevel="0" collapsed="false">
      <c r="A7" s="1" t="s">
        <v>4</v>
      </c>
    </row>
    <row r="8" customFormat="false" ht="12.75" hidden="false" customHeight="false" outlineLevel="0" collapsed="false">
      <c r="A8" s="1" t="s">
        <v>5</v>
      </c>
    </row>
    <row r="10" customFormat="false" ht="12.75" hidden="false" customHeight="false" outlineLevel="0" collapsed="false">
      <c r="A10" s="2" t="s">
        <v>6</v>
      </c>
      <c r="B10" s="3"/>
      <c r="D10" s="2" t="s">
        <v>7</v>
      </c>
      <c r="E10" s="3"/>
      <c r="F10" s="3"/>
      <c r="H10" s="2" t="s">
        <v>8</v>
      </c>
      <c r="I10" s="3"/>
    </row>
    <row r="11" customFormat="false" ht="12.75" hidden="false" customHeight="false" outlineLevel="0" collapsed="false">
      <c r="A11" s="3" t="s">
        <v>9</v>
      </c>
      <c r="B11" s="3" t="s">
        <v>10</v>
      </c>
      <c r="D11" s="2" t="s">
        <v>11</v>
      </c>
      <c r="E11" s="2" t="s">
        <v>12</v>
      </c>
      <c r="F11" s="2" t="s">
        <v>13</v>
      </c>
      <c r="H11" s="3" t="s">
        <v>14</v>
      </c>
      <c r="I11" s="3" t="s">
        <v>15</v>
      </c>
    </row>
    <row r="12" customFormat="false" ht="12.75" hidden="false" customHeight="false" outlineLevel="0" collapsed="false">
      <c r="A12" s="3" t="s">
        <v>16</v>
      </c>
      <c r="B12" s="3" t="s">
        <v>17</v>
      </c>
      <c r="D12" s="3" t="s">
        <v>18</v>
      </c>
      <c r="E12" s="3" t="s">
        <v>19</v>
      </c>
      <c r="F12" s="3" t="s">
        <v>20</v>
      </c>
      <c r="H12" s="3" t="s">
        <v>21</v>
      </c>
      <c r="I12" s="3" t="s">
        <v>22</v>
      </c>
    </row>
    <row r="13" customFormat="false" ht="12.75" hidden="false" customHeight="false" outlineLevel="0" collapsed="false">
      <c r="A13" s="3" t="s">
        <v>23</v>
      </c>
      <c r="B13" s="3" t="s">
        <v>24</v>
      </c>
      <c r="D13" s="3" t="s">
        <v>25</v>
      </c>
      <c r="E13" s="3" t="s">
        <v>26</v>
      </c>
      <c r="F13" s="3" t="s">
        <v>27</v>
      </c>
      <c r="H13" s="3" t="s">
        <v>28</v>
      </c>
      <c r="I13" s="3" t="s">
        <v>29</v>
      </c>
    </row>
    <row r="14" customFormat="false" ht="12.75" hidden="false" customHeight="false" outlineLevel="0" collapsed="false">
      <c r="A14" s="3" t="s">
        <v>30</v>
      </c>
      <c r="B14" s="3" t="s">
        <v>31</v>
      </c>
      <c r="D14" s="3" t="s">
        <v>32</v>
      </c>
      <c r="E14" s="3" t="s">
        <v>33</v>
      </c>
      <c r="F14" s="3" t="s">
        <v>34</v>
      </c>
      <c r="H14" s="3" t="s">
        <v>16</v>
      </c>
      <c r="I14" s="3" t="s">
        <v>35</v>
      </c>
    </row>
    <row r="15" customFormat="false" ht="12.75" hidden="false" customHeight="false" outlineLevel="0" collapsed="false">
      <c r="A15" s="3" t="s">
        <v>36</v>
      </c>
      <c r="B15" s="3" t="s">
        <v>37</v>
      </c>
      <c r="D15" s="3" t="s">
        <v>38</v>
      </c>
      <c r="E15" s="3" t="s">
        <v>39</v>
      </c>
      <c r="F15" s="3" t="s">
        <v>40</v>
      </c>
      <c r="H15" s="3" t="s">
        <v>41</v>
      </c>
      <c r="I15" s="3" t="s">
        <v>42</v>
      </c>
    </row>
    <row r="16" customFormat="false" ht="12.75" hidden="false" customHeight="false" outlineLevel="0" collapsed="false">
      <c r="A16" s="3" t="s">
        <v>43</v>
      </c>
      <c r="B16" s="3" t="s">
        <v>44</v>
      </c>
      <c r="D16" s="3" t="s">
        <v>45</v>
      </c>
      <c r="E16" s="3" t="s">
        <v>46</v>
      </c>
      <c r="F16" s="3" t="s">
        <v>47</v>
      </c>
      <c r="H16" s="3" t="s">
        <v>48</v>
      </c>
      <c r="I16" s="3" t="s">
        <v>49</v>
      </c>
    </row>
    <row r="17" customFormat="false" ht="12.75" hidden="false" customHeight="false" outlineLevel="0" collapsed="false">
      <c r="A17" s="3" t="s">
        <v>50</v>
      </c>
      <c r="B17" s="3" t="s">
        <v>51</v>
      </c>
      <c r="D17" s="3" t="s">
        <v>52</v>
      </c>
      <c r="E17" s="3" t="s">
        <v>53</v>
      </c>
      <c r="F17" s="3" t="s">
        <v>54</v>
      </c>
      <c r="H17" s="3"/>
      <c r="I17" s="3" t="s">
        <v>55</v>
      </c>
    </row>
    <row r="18" customFormat="false" ht="12.75" hidden="false" customHeight="false" outlineLevel="0" collapsed="false">
      <c r="A18" s="3" t="s">
        <v>56</v>
      </c>
      <c r="B18" s="3" t="s">
        <v>57</v>
      </c>
      <c r="D18" s="3" t="s">
        <v>58</v>
      </c>
      <c r="E18" s="3" t="s">
        <v>59</v>
      </c>
      <c r="F18" s="3" t="s">
        <v>60</v>
      </c>
    </row>
    <row r="19" customFormat="false" ht="12.75" hidden="false" customHeight="false" outlineLevel="0" collapsed="false">
      <c r="A19" s="3" t="s">
        <v>61</v>
      </c>
      <c r="B19" s="3" t="s">
        <v>62</v>
      </c>
      <c r="D19" s="3" t="s">
        <v>63</v>
      </c>
      <c r="E19" s="3" t="s">
        <v>64</v>
      </c>
      <c r="F19" s="3" t="s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48576"/>
  <sheetViews>
    <sheetView showFormulas="false" showGridLines="true" showRowColHeaders="true" showZeros="true" rightToLeft="false" tabSelected="false" showOutlineSymbols="true" defaultGridColor="true" view="normal" topLeftCell="S1" colorId="64" zoomScale="120" zoomScaleNormal="120" zoomScalePageLayoutView="100" workbookViewId="0">
      <selection pane="topLeft" activeCell="S5" activeCellId="0" sqref="S5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1" min="1" style="1" width="17.72"/>
    <col collapsed="false" customWidth="true" hidden="false" outlineLevel="0" max="3" min="3" style="1" width="11.43"/>
    <col collapsed="false" customWidth="true" hidden="false" outlineLevel="0" max="6" min="6" style="1" width="14"/>
    <col collapsed="false" customWidth="true" hidden="false" outlineLevel="0" max="7" min="7" style="1" width="11.14"/>
    <col collapsed="false" customWidth="true" hidden="false" outlineLevel="0" max="8" min="8" style="1" width="13.29"/>
    <col collapsed="false" customWidth="true" hidden="false" outlineLevel="0" max="9" min="9" style="1" width="13.71"/>
    <col collapsed="false" customWidth="true" hidden="false" outlineLevel="0" max="11" min="10" style="1" width="11.85"/>
    <col collapsed="false" customWidth="true" hidden="false" outlineLevel="0" max="30" min="30" style="1" width="10.72"/>
    <col collapsed="false" customWidth="true" hidden="false" outlineLevel="0" max="31" min="31" style="1" width="22"/>
    <col collapsed="false" customWidth="true" hidden="false" outlineLevel="0" max="32" min="32" style="1" width="85.57"/>
  </cols>
  <sheetData>
    <row r="1" customFormat="false" ht="12.75" hidden="false" customHeight="false" outlineLevel="0" collapsed="false">
      <c r="A1" s="4"/>
      <c r="B1" s="5"/>
      <c r="C1" s="6" t="s">
        <v>66</v>
      </c>
      <c r="D1" s="6"/>
      <c r="E1" s="6" t="s">
        <v>67</v>
      </c>
      <c r="F1" s="6"/>
      <c r="G1" s="6"/>
      <c r="H1" s="6"/>
      <c r="I1" s="6" t="s">
        <v>68</v>
      </c>
      <c r="J1" s="4"/>
      <c r="K1" s="7" t="s">
        <v>69</v>
      </c>
      <c r="L1" s="5"/>
      <c r="M1" s="6" t="s">
        <v>70</v>
      </c>
      <c r="N1" s="6"/>
      <c r="O1" s="6" t="s">
        <v>71</v>
      </c>
      <c r="P1" s="6"/>
      <c r="Q1" s="6"/>
      <c r="R1" s="4"/>
      <c r="S1" s="5"/>
      <c r="T1" s="6" t="s">
        <v>72</v>
      </c>
      <c r="U1" s="6"/>
      <c r="V1" s="4"/>
      <c r="W1" s="8"/>
      <c r="X1" s="5"/>
      <c r="Y1" s="6" t="s">
        <v>73</v>
      </c>
      <c r="Z1" s="6"/>
      <c r="AA1" s="4"/>
      <c r="AB1" s="8"/>
      <c r="AC1" s="5"/>
      <c r="AD1" s="5"/>
      <c r="AE1" s="9"/>
      <c r="AF1" s="6"/>
    </row>
    <row r="2" customFormat="false" ht="12.75" hidden="false" customHeight="false" outlineLevel="0" collapsed="false">
      <c r="A2" s="10" t="s">
        <v>74</v>
      </c>
      <c r="B2" s="10" t="s">
        <v>75</v>
      </c>
      <c r="C2" s="10" t="s">
        <v>76</v>
      </c>
      <c r="D2" s="10" t="s">
        <v>77</v>
      </c>
      <c r="E2" s="10" t="s">
        <v>76</v>
      </c>
      <c r="F2" s="10" t="s">
        <v>77</v>
      </c>
      <c r="G2" s="10" t="s">
        <v>78</v>
      </c>
      <c r="H2" s="10" t="s">
        <v>79</v>
      </c>
      <c r="I2" s="10" t="s">
        <v>80</v>
      </c>
      <c r="J2" s="10" t="s">
        <v>81</v>
      </c>
      <c r="K2" s="10" t="s">
        <v>82</v>
      </c>
      <c r="L2" s="10" t="s">
        <v>29</v>
      </c>
      <c r="M2" s="10" t="s">
        <v>29</v>
      </c>
      <c r="N2" s="10" t="s">
        <v>83</v>
      </c>
      <c r="O2" s="10" t="n">
        <v>1</v>
      </c>
      <c r="P2" s="10" t="n">
        <v>2</v>
      </c>
      <c r="Q2" s="10" t="n">
        <v>3</v>
      </c>
      <c r="R2" s="10" t="n">
        <v>4</v>
      </c>
      <c r="S2" s="10" t="n">
        <v>5</v>
      </c>
      <c r="T2" s="10" t="n">
        <v>1</v>
      </c>
      <c r="U2" s="10" t="n">
        <v>2</v>
      </c>
      <c r="V2" s="10" t="n">
        <v>3</v>
      </c>
      <c r="W2" s="10" t="n">
        <v>4</v>
      </c>
      <c r="X2" s="10" t="n">
        <v>5</v>
      </c>
      <c r="Y2" s="10" t="n">
        <v>1</v>
      </c>
      <c r="Z2" s="10" t="n">
        <v>2</v>
      </c>
      <c r="AA2" s="10" t="n">
        <v>3</v>
      </c>
      <c r="AB2" s="10" t="n">
        <v>4</v>
      </c>
      <c r="AC2" s="10" t="n">
        <v>5</v>
      </c>
      <c r="AD2" s="10" t="s">
        <v>84</v>
      </c>
      <c r="AE2" s="10" t="s">
        <v>85</v>
      </c>
      <c r="AF2" s="10" t="s">
        <v>86</v>
      </c>
    </row>
    <row r="3" customFormat="false" ht="12.75" hidden="false" customHeight="false" outlineLevel="0" collapsed="false">
      <c r="A3" s="3" t="s">
        <v>87</v>
      </c>
      <c r="B3" s="3" t="n">
        <v>1</v>
      </c>
      <c r="C3" s="11" t="n">
        <v>147000</v>
      </c>
      <c r="D3" s="11" t="n">
        <v>521000</v>
      </c>
      <c r="E3" s="11" t="n">
        <v>146998.447</v>
      </c>
      <c r="F3" s="11" t="n">
        <v>520990.132</v>
      </c>
      <c r="G3" s="12" t="n">
        <v>45580</v>
      </c>
      <c r="H3" s="13" t="n">
        <v>2.572</v>
      </c>
      <c r="I3" s="13" t="n">
        <v>2.7</v>
      </c>
      <c r="J3" s="13" t="n">
        <v>5.8</v>
      </c>
      <c r="K3" s="14" t="s">
        <v>88</v>
      </c>
      <c r="L3" s="14" t="s">
        <v>88</v>
      </c>
      <c r="M3" s="14" t="s">
        <v>88</v>
      </c>
      <c r="N3" s="14" t="s">
        <v>88</v>
      </c>
      <c r="O3" s="14" t="s">
        <v>89</v>
      </c>
      <c r="P3" s="14" t="s">
        <v>90</v>
      </c>
      <c r="Q3" s="14" t="s">
        <v>90</v>
      </c>
      <c r="R3" s="14" t="s">
        <v>90</v>
      </c>
      <c r="S3" s="14" t="s">
        <v>90</v>
      </c>
      <c r="T3" s="14" t="s">
        <v>91</v>
      </c>
      <c r="U3" s="14" t="s">
        <v>92</v>
      </c>
      <c r="V3" s="14" t="s">
        <v>92</v>
      </c>
      <c r="W3" s="14" t="s">
        <v>92</v>
      </c>
      <c r="X3" s="14" t="s">
        <v>92</v>
      </c>
      <c r="Y3" s="14" t="s">
        <v>88</v>
      </c>
      <c r="Z3" s="14" t="s">
        <v>90</v>
      </c>
      <c r="AA3" s="14" t="s">
        <v>90</v>
      </c>
      <c r="AB3" s="14" t="s">
        <v>93</v>
      </c>
      <c r="AC3" s="14" t="s">
        <v>90</v>
      </c>
      <c r="AD3" s="14" t="s">
        <v>94</v>
      </c>
      <c r="AE3" s="3" t="s">
        <v>95</v>
      </c>
      <c r="AF3" s="14" t="s">
        <v>88</v>
      </c>
    </row>
    <row r="4" customFormat="false" ht="12.75" hidden="false" customHeight="false" outlineLevel="0" collapsed="false">
      <c r="A4" s="3" t="s">
        <v>87</v>
      </c>
      <c r="B4" s="3" t="n">
        <v>2</v>
      </c>
      <c r="C4" s="11" t="n">
        <v>151000</v>
      </c>
      <c r="D4" s="11" t="n">
        <v>521000</v>
      </c>
      <c r="E4" s="11" t="n">
        <v>151005.132</v>
      </c>
      <c r="F4" s="11" t="n">
        <v>520990.456</v>
      </c>
      <c r="G4" s="12" t="n">
        <v>45580</v>
      </c>
      <c r="H4" s="13" t="n">
        <v>1.772</v>
      </c>
      <c r="I4" s="11" t="n">
        <v>0</v>
      </c>
      <c r="J4" s="13" t="n">
        <v>0.1</v>
      </c>
      <c r="K4" s="14" t="s">
        <v>88</v>
      </c>
      <c r="L4" s="14" t="n">
        <v>2</v>
      </c>
      <c r="M4" s="14" t="n">
        <v>5</v>
      </c>
      <c r="N4" s="14" t="s">
        <v>88</v>
      </c>
      <c r="O4" s="14" t="s">
        <v>90</v>
      </c>
      <c r="P4" s="14" t="s">
        <v>96</v>
      </c>
      <c r="Q4" s="14" t="s">
        <v>90</v>
      </c>
      <c r="R4" s="14" t="s">
        <v>90</v>
      </c>
      <c r="S4" s="14" t="s">
        <v>90</v>
      </c>
      <c r="T4" s="14" t="s">
        <v>92</v>
      </c>
      <c r="U4" s="14" t="s">
        <v>97</v>
      </c>
      <c r="V4" s="14" t="s">
        <v>92</v>
      </c>
      <c r="W4" s="14" t="s">
        <v>92</v>
      </c>
      <c r="X4" s="14" t="s">
        <v>92</v>
      </c>
      <c r="Y4" s="14" t="s">
        <v>88</v>
      </c>
      <c r="Z4" s="14" t="s">
        <v>88</v>
      </c>
      <c r="AA4" s="14" t="s">
        <v>88</v>
      </c>
      <c r="AB4" s="14" t="s">
        <v>88</v>
      </c>
      <c r="AC4" s="14" t="s">
        <v>88</v>
      </c>
      <c r="AD4" s="14" t="s">
        <v>98</v>
      </c>
      <c r="AE4" s="3" t="s">
        <v>95</v>
      </c>
      <c r="AF4" s="14" t="s">
        <v>88</v>
      </c>
    </row>
    <row r="5" customFormat="false" ht="12.75" hidden="false" customHeight="false" outlineLevel="0" collapsed="false">
      <c r="A5" s="3" t="s">
        <v>87</v>
      </c>
      <c r="B5" s="3" t="n">
        <v>3</v>
      </c>
      <c r="C5" s="11" t="n">
        <v>145000</v>
      </c>
      <c r="D5" s="11" t="n">
        <v>519000</v>
      </c>
      <c r="E5" s="11" t="n">
        <v>144991.184</v>
      </c>
      <c r="F5" s="11" t="n">
        <v>518990.918</v>
      </c>
      <c r="G5" s="12" t="n">
        <v>45580</v>
      </c>
      <c r="H5" s="13" t="n">
        <v>2.476</v>
      </c>
      <c r="I5" s="11" t="n">
        <v>0</v>
      </c>
      <c r="J5" s="13" t="n">
        <v>0.2</v>
      </c>
      <c r="K5" s="14" t="s">
        <v>88</v>
      </c>
      <c r="L5" s="14" t="s">
        <v>88</v>
      </c>
      <c r="M5" s="14" t="s">
        <v>88</v>
      </c>
      <c r="N5" s="14" t="s">
        <v>88</v>
      </c>
      <c r="O5" s="14" t="s">
        <v>90</v>
      </c>
      <c r="P5" s="14" t="s">
        <v>90</v>
      </c>
      <c r="Q5" s="14" t="s">
        <v>90</v>
      </c>
      <c r="R5" s="14" t="s">
        <v>89</v>
      </c>
      <c r="S5" s="14" t="s">
        <v>90</v>
      </c>
      <c r="T5" s="14" t="s">
        <v>92</v>
      </c>
      <c r="U5" s="14" t="s">
        <v>92</v>
      </c>
      <c r="V5" s="14" t="s">
        <v>91</v>
      </c>
      <c r="W5" s="14" t="s">
        <v>91</v>
      </c>
      <c r="X5" s="14" t="s">
        <v>92</v>
      </c>
      <c r="Y5" s="14" t="s">
        <v>88</v>
      </c>
      <c r="Z5" s="14" t="s">
        <v>88</v>
      </c>
      <c r="AA5" s="14" t="s">
        <v>88</v>
      </c>
      <c r="AB5" s="14" t="s">
        <v>99</v>
      </c>
      <c r="AC5" s="14" t="s">
        <v>88</v>
      </c>
      <c r="AD5" s="14" t="s">
        <v>98</v>
      </c>
      <c r="AE5" s="3" t="s">
        <v>95</v>
      </c>
      <c r="AF5" s="14" t="s">
        <v>88</v>
      </c>
    </row>
    <row r="6" customFormat="false" ht="12.75" hidden="false" customHeight="false" outlineLevel="0" collapsed="false">
      <c r="A6" s="3" t="s">
        <v>87</v>
      </c>
      <c r="B6" s="3" t="n">
        <v>4</v>
      </c>
      <c r="C6" s="11" t="n">
        <v>149000</v>
      </c>
      <c r="D6" s="11" t="n">
        <v>519000</v>
      </c>
      <c r="E6" s="11" t="n">
        <v>149007.991</v>
      </c>
      <c r="F6" s="11" t="n">
        <v>519008.06</v>
      </c>
      <c r="G6" s="12" t="n">
        <v>45580</v>
      </c>
      <c r="H6" s="13" t="n">
        <v>1.852</v>
      </c>
      <c r="I6" s="11" t="n">
        <v>0</v>
      </c>
      <c r="J6" s="13" t="n">
        <v>1.2</v>
      </c>
      <c r="K6" s="14" t="s">
        <v>88</v>
      </c>
      <c r="L6" s="14" t="s">
        <v>88</v>
      </c>
      <c r="M6" s="14" t="s">
        <v>88</v>
      </c>
      <c r="N6" s="14" t="s">
        <v>88</v>
      </c>
      <c r="O6" s="14" t="s">
        <v>90</v>
      </c>
      <c r="P6" s="14" t="s">
        <v>90</v>
      </c>
      <c r="Q6" s="14" t="s">
        <v>90</v>
      </c>
      <c r="R6" s="14" t="s">
        <v>90</v>
      </c>
      <c r="S6" s="14" t="s">
        <v>90</v>
      </c>
      <c r="T6" s="14" t="s">
        <v>92</v>
      </c>
      <c r="U6" s="14" t="s">
        <v>92</v>
      </c>
      <c r="V6" s="14" t="s">
        <v>92</v>
      </c>
      <c r="W6" s="14" t="s">
        <v>92</v>
      </c>
      <c r="X6" s="14" t="s">
        <v>92</v>
      </c>
      <c r="Y6" s="14" t="s">
        <v>88</v>
      </c>
      <c r="Z6" s="14" t="s">
        <v>90</v>
      </c>
      <c r="AA6" s="14" t="s">
        <v>90</v>
      </c>
      <c r="AB6" s="14" t="s">
        <v>88</v>
      </c>
      <c r="AC6" s="14" t="s">
        <v>90</v>
      </c>
      <c r="AD6" s="14" t="s">
        <v>98</v>
      </c>
      <c r="AE6" s="3" t="s">
        <v>95</v>
      </c>
      <c r="AF6" s="14" t="s">
        <v>88</v>
      </c>
    </row>
    <row r="7" customFormat="false" ht="12.75" hidden="false" customHeight="false" outlineLevel="0" collapsed="false">
      <c r="A7" s="3" t="s">
        <v>87</v>
      </c>
      <c r="B7" s="3" t="n">
        <v>5</v>
      </c>
      <c r="C7" s="11" t="n">
        <v>152352.298705</v>
      </c>
      <c r="D7" s="11" t="n">
        <v>518745.999492</v>
      </c>
      <c r="E7" s="11" t="n">
        <v>152356.663</v>
      </c>
      <c r="F7" s="11" t="n">
        <v>518746.961</v>
      </c>
      <c r="G7" s="12" t="n">
        <v>45580</v>
      </c>
      <c r="H7" s="13" t="n">
        <v>2.394</v>
      </c>
      <c r="I7" s="13" t="n">
        <v>1</v>
      </c>
      <c r="J7" s="13" t="n">
        <v>3.5</v>
      </c>
      <c r="K7" s="14" t="s">
        <v>88</v>
      </c>
      <c r="L7" s="14" t="n">
        <v>1</v>
      </c>
      <c r="M7" s="14" t="n">
        <v>3</v>
      </c>
      <c r="N7" s="14" t="s">
        <v>88</v>
      </c>
      <c r="O7" s="14" t="s">
        <v>90</v>
      </c>
      <c r="P7" s="14" t="s">
        <v>90</v>
      </c>
      <c r="Q7" s="14" t="s">
        <v>90</v>
      </c>
      <c r="R7" s="14" t="s">
        <v>90</v>
      </c>
      <c r="S7" s="14" t="s">
        <v>90</v>
      </c>
      <c r="T7" s="14" t="s">
        <v>92</v>
      </c>
      <c r="U7" s="14" t="s">
        <v>92</v>
      </c>
      <c r="V7" s="14" t="s">
        <v>92</v>
      </c>
      <c r="W7" s="14" t="s">
        <v>92</v>
      </c>
      <c r="X7" s="14" t="s">
        <v>92</v>
      </c>
      <c r="Y7" s="14" t="s">
        <v>88</v>
      </c>
      <c r="Z7" s="14" t="s">
        <v>90</v>
      </c>
      <c r="AA7" s="14" t="s">
        <v>88</v>
      </c>
      <c r="AB7" s="14" t="s">
        <v>90</v>
      </c>
      <c r="AC7" s="14" t="s">
        <v>100</v>
      </c>
      <c r="AD7" s="14" t="s">
        <v>98</v>
      </c>
      <c r="AE7" s="3" t="s">
        <v>95</v>
      </c>
      <c r="AF7" s="14" t="s">
        <v>88</v>
      </c>
    </row>
    <row r="8" customFormat="false" ht="12.75" hidden="false" customHeight="false" outlineLevel="0" collapsed="false">
      <c r="A8" s="3" t="s">
        <v>101</v>
      </c>
      <c r="B8" s="3" t="n">
        <v>6</v>
      </c>
      <c r="C8" s="11" t="n">
        <v>134900</v>
      </c>
      <c r="D8" s="11" t="n">
        <v>516600</v>
      </c>
      <c r="E8" s="11" t="n">
        <v>134895.507</v>
      </c>
      <c r="F8" s="12" t="n">
        <v>516590.095</v>
      </c>
      <c r="G8" s="12" t="n">
        <v>45579</v>
      </c>
      <c r="H8" s="13" t="n">
        <v>2.852</v>
      </c>
      <c r="I8" s="13" t="n">
        <v>0.1</v>
      </c>
      <c r="J8" s="13" t="n">
        <v>0.3</v>
      </c>
      <c r="K8" s="14" t="s">
        <v>88</v>
      </c>
      <c r="L8" s="14" t="s">
        <v>88</v>
      </c>
      <c r="M8" s="14" t="s">
        <v>88</v>
      </c>
      <c r="N8" s="14" t="s">
        <v>88</v>
      </c>
      <c r="O8" s="14" t="s">
        <v>102</v>
      </c>
      <c r="P8" s="14" t="s">
        <v>102</v>
      </c>
      <c r="Q8" s="14" t="s">
        <v>103</v>
      </c>
      <c r="R8" s="14" t="s">
        <v>102</v>
      </c>
      <c r="S8" s="14" t="s">
        <v>102</v>
      </c>
      <c r="T8" s="14" t="s">
        <v>97</v>
      </c>
      <c r="U8" s="14" t="s">
        <v>91</v>
      </c>
      <c r="V8" s="14" t="s">
        <v>91</v>
      </c>
      <c r="W8" s="14" t="s">
        <v>104</v>
      </c>
      <c r="X8" s="14" t="s">
        <v>104</v>
      </c>
      <c r="Y8" s="14" t="s">
        <v>88</v>
      </c>
      <c r="Z8" s="14" t="s">
        <v>88</v>
      </c>
      <c r="AA8" s="14" t="s">
        <v>88</v>
      </c>
      <c r="AB8" s="14" t="s">
        <v>88</v>
      </c>
      <c r="AC8" s="14" t="s">
        <v>99</v>
      </c>
      <c r="AD8" s="14" t="s">
        <v>98</v>
      </c>
      <c r="AE8" s="3" t="s">
        <v>105</v>
      </c>
      <c r="AF8" s="14" t="s">
        <v>88</v>
      </c>
    </row>
    <row r="9" customFormat="false" ht="12.75" hidden="false" customHeight="false" outlineLevel="0" collapsed="false">
      <c r="A9" s="3" t="s">
        <v>87</v>
      </c>
      <c r="B9" s="3" t="n">
        <v>7</v>
      </c>
      <c r="C9" s="11" t="n">
        <v>143000</v>
      </c>
      <c r="D9" s="11" t="n">
        <v>517000</v>
      </c>
      <c r="E9" s="11" t="n">
        <v>143003.907</v>
      </c>
      <c r="F9" s="11" t="n">
        <v>517005.391</v>
      </c>
      <c r="G9" s="12" t="n">
        <v>45580</v>
      </c>
      <c r="H9" s="13" t="n">
        <v>3.032</v>
      </c>
      <c r="I9" s="13" t="n">
        <v>2.9</v>
      </c>
      <c r="J9" s="13" t="n">
        <v>6.2</v>
      </c>
      <c r="K9" s="14" t="s">
        <v>88</v>
      </c>
      <c r="L9" s="14" t="s">
        <v>88</v>
      </c>
      <c r="M9" s="14" t="s">
        <v>88</v>
      </c>
      <c r="N9" s="14" t="s">
        <v>88</v>
      </c>
      <c r="O9" s="14" t="s">
        <v>90</v>
      </c>
      <c r="P9" s="14" t="s">
        <v>90</v>
      </c>
      <c r="Q9" s="14" t="s">
        <v>90</v>
      </c>
      <c r="R9" s="14" t="s">
        <v>103</v>
      </c>
      <c r="S9" s="14" t="s">
        <v>89</v>
      </c>
      <c r="T9" s="14" t="s">
        <v>106</v>
      </c>
      <c r="U9" s="14" t="s">
        <v>106</v>
      </c>
      <c r="V9" s="14" t="s">
        <v>106</v>
      </c>
      <c r="W9" s="14" t="s">
        <v>91</v>
      </c>
      <c r="X9" s="14" t="s">
        <v>92</v>
      </c>
      <c r="Y9" s="14" t="s">
        <v>90</v>
      </c>
      <c r="Z9" s="14" t="s">
        <v>99</v>
      </c>
      <c r="AA9" s="14" t="s">
        <v>90</v>
      </c>
      <c r="AB9" s="14" t="s">
        <v>90</v>
      </c>
      <c r="AC9" s="14" t="s">
        <v>93</v>
      </c>
      <c r="AD9" s="14" t="s">
        <v>94</v>
      </c>
      <c r="AE9" s="3" t="s">
        <v>95</v>
      </c>
      <c r="AF9" s="14" t="s">
        <v>88</v>
      </c>
    </row>
    <row r="10" customFormat="false" ht="12.75" hidden="false" customHeight="false" outlineLevel="0" collapsed="false">
      <c r="A10" s="3" t="s">
        <v>87</v>
      </c>
      <c r="B10" s="3" t="n">
        <v>8</v>
      </c>
      <c r="C10" s="11" t="n">
        <v>147000</v>
      </c>
      <c r="D10" s="11" t="n">
        <v>517000</v>
      </c>
      <c r="E10" s="11" t="n">
        <v>146976.37</v>
      </c>
      <c r="F10" s="11" t="n">
        <v>517006.29</v>
      </c>
      <c r="G10" s="12" t="n">
        <v>45580</v>
      </c>
      <c r="H10" s="13" t="n">
        <v>3.492</v>
      </c>
      <c r="I10" s="13" t="n">
        <v>3.7</v>
      </c>
      <c r="J10" s="13" t="n">
        <v>6.5</v>
      </c>
      <c r="K10" s="14" t="s">
        <v>88</v>
      </c>
      <c r="L10" s="14" t="s">
        <v>88</v>
      </c>
      <c r="M10" s="14" t="s">
        <v>88</v>
      </c>
      <c r="N10" s="14" t="s">
        <v>88</v>
      </c>
      <c r="O10" s="14" t="s">
        <v>102</v>
      </c>
      <c r="P10" s="14" t="s">
        <v>102</v>
      </c>
      <c r="Q10" s="14" t="s">
        <v>103</v>
      </c>
      <c r="R10" s="14" t="s">
        <v>102</v>
      </c>
      <c r="S10" s="14" t="s">
        <v>103</v>
      </c>
      <c r="T10" s="14" t="s">
        <v>104</v>
      </c>
      <c r="U10" s="14" t="s">
        <v>104</v>
      </c>
      <c r="V10" s="14" t="s">
        <v>91</v>
      </c>
      <c r="W10" s="14" t="s">
        <v>104</v>
      </c>
      <c r="X10" s="14" t="s">
        <v>91</v>
      </c>
      <c r="Y10" s="14" t="s">
        <v>88</v>
      </c>
      <c r="Z10" s="14" t="s">
        <v>90</v>
      </c>
      <c r="AA10" s="14" t="s">
        <v>93</v>
      </c>
      <c r="AB10" s="14" t="s">
        <v>88</v>
      </c>
      <c r="AC10" s="14" t="s">
        <v>93</v>
      </c>
      <c r="AD10" s="14" t="s">
        <v>94</v>
      </c>
      <c r="AE10" s="3" t="s">
        <v>95</v>
      </c>
      <c r="AF10" s="14" t="s">
        <v>88</v>
      </c>
    </row>
    <row r="11" customFormat="false" ht="12.75" hidden="false" customHeight="false" outlineLevel="0" collapsed="false">
      <c r="A11" s="3" t="s">
        <v>87</v>
      </c>
      <c r="B11" s="3" t="n">
        <v>9</v>
      </c>
      <c r="C11" s="11" t="n">
        <v>151000</v>
      </c>
      <c r="D11" s="11" t="n">
        <v>517000</v>
      </c>
      <c r="E11" s="11" t="n">
        <v>151013.11</v>
      </c>
      <c r="F11" s="11" t="n">
        <v>516990.331</v>
      </c>
      <c r="G11" s="12" t="n">
        <v>45580</v>
      </c>
      <c r="H11" s="13" t="n">
        <v>2.748</v>
      </c>
      <c r="I11" s="11" t="n">
        <v>0</v>
      </c>
      <c r="J11" s="13" t="n">
        <v>0.9</v>
      </c>
      <c r="K11" s="14" t="s">
        <v>88</v>
      </c>
      <c r="L11" s="14" t="s">
        <v>88</v>
      </c>
      <c r="M11" s="14" t="s">
        <v>88</v>
      </c>
      <c r="N11" s="14" t="s">
        <v>88</v>
      </c>
      <c r="O11" s="14" t="s">
        <v>90</v>
      </c>
      <c r="P11" s="14" t="s">
        <v>90</v>
      </c>
      <c r="Q11" s="14" t="s">
        <v>90</v>
      </c>
      <c r="R11" s="14" t="s">
        <v>90</v>
      </c>
      <c r="S11" s="14" t="s">
        <v>90</v>
      </c>
      <c r="T11" s="14" t="s">
        <v>92</v>
      </c>
      <c r="U11" s="14" t="s">
        <v>92</v>
      </c>
      <c r="V11" s="14" t="s">
        <v>92</v>
      </c>
      <c r="W11" s="14" t="s">
        <v>92</v>
      </c>
      <c r="X11" s="14" t="s">
        <v>92</v>
      </c>
      <c r="Y11" s="14" t="s">
        <v>90</v>
      </c>
      <c r="Z11" s="14" t="s">
        <v>99</v>
      </c>
      <c r="AA11" s="14" t="s">
        <v>88</v>
      </c>
      <c r="AB11" s="14" t="s">
        <v>88</v>
      </c>
      <c r="AC11" s="14" t="s">
        <v>88</v>
      </c>
      <c r="AD11" s="14" t="s">
        <v>98</v>
      </c>
      <c r="AE11" s="3" t="s">
        <v>95</v>
      </c>
      <c r="AF11" s="14" t="s">
        <v>88</v>
      </c>
    </row>
    <row r="12" customFormat="false" ht="12.75" hidden="false" customHeight="false" outlineLevel="0" collapsed="false">
      <c r="A12" s="3" t="s">
        <v>87</v>
      </c>
      <c r="B12" s="3" t="n">
        <v>10</v>
      </c>
      <c r="C12" s="11" t="n">
        <v>154650.749301</v>
      </c>
      <c r="D12" s="11" t="n">
        <v>516758.699517</v>
      </c>
      <c r="E12" s="11" t="n">
        <v>154663.148</v>
      </c>
      <c r="F12" s="11" t="n">
        <v>516763.18</v>
      </c>
      <c r="G12" s="12" t="n">
        <v>45582</v>
      </c>
      <c r="H12" s="13" t="n">
        <v>2.49</v>
      </c>
      <c r="I12" s="13" t="n">
        <v>1.1</v>
      </c>
      <c r="J12" s="13" t="n">
        <v>0.2</v>
      </c>
      <c r="K12" s="14" t="s">
        <v>88</v>
      </c>
      <c r="L12" s="14" t="n">
        <v>2.5</v>
      </c>
      <c r="M12" s="14" t="n">
        <v>3</v>
      </c>
      <c r="N12" s="14" t="s">
        <v>88</v>
      </c>
      <c r="O12" s="14" t="s">
        <v>90</v>
      </c>
      <c r="P12" s="14" t="s">
        <v>90</v>
      </c>
      <c r="Q12" s="14" t="s">
        <v>90</v>
      </c>
      <c r="R12" s="14" t="s">
        <v>90</v>
      </c>
      <c r="S12" s="14" t="s">
        <v>90</v>
      </c>
      <c r="T12" s="14" t="s">
        <v>107</v>
      </c>
      <c r="U12" s="14" t="s">
        <v>107</v>
      </c>
      <c r="V12" s="14" t="s">
        <v>107</v>
      </c>
      <c r="W12" s="14" t="s">
        <v>107</v>
      </c>
      <c r="X12" s="14" t="s">
        <v>107</v>
      </c>
      <c r="Y12" s="14" t="s">
        <v>90</v>
      </c>
      <c r="Z12" s="14" t="s">
        <v>88</v>
      </c>
      <c r="AA12" s="14" t="s">
        <v>88</v>
      </c>
      <c r="AB12" s="14" t="s">
        <v>99</v>
      </c>
      <c r="AC12" s="14" t="s">
        <v>88</v>
      </c>
      <c r="AD12" s="14" t="s">
        <v>98</v>
      </c>
      <c r="AE12" s="3" t="s">
        <v>108</v>
      </c>
      <c r="AF12" s="14" t="s">
        <v>88</v>
      </c>
    </row>
    <row r="13" customFormat="false" ht="12.75" hidden="false" customHeight="false" outlineLevel="0" collapsed="false">
      <c r="A13" s="3" t="s">
        <v>101</v>
      </c>
      <c r="B13" s="3" t="n">
        <v>11</v>
      </c>
      <c r="C13" s="11" t="n">
        <v>133000</v>
      </c>
      <c r="D13" s="11" t="n">
        <v>515000</v>
      </c>
      <c r="E13" s="11" t="n">
        <v>133004.01</v>
      </c>
      <c r="F13" s="11" t="n">
        <v>515004.688</v>
      </c>
      <c r="G13" s="12" t="n">
        <v>45579</v>
      </c>
      <c r="H13" s="13" t="n">
        <v>3.076</v>
      </c>
      <c r="I13" s="13" t="n">
        <v>20.8</v>
      </c>
      <c r="J13" s="13" t="n">
        <v>26.2</v>
      </c>
      <c r="K13" s="14" t="s">
        <v>88</v>
      </c>
      <c r="L13" s="14" t="s">
        <v>88</v>
      </c>
      <c r="M13" s="14" t="s">
        <v>88</v>
      </c>
      <c r="N13" s="14" t="s">
        <v>88</v>
      </c>
      <c r="O13" s="14" t="s">
        <v>90</v>
      </c>
      <c r="P13" s="14" t="s">
        <v>90</v>
      </c>
      <c r="Q13" s="14" t="s">
        <v>90</v>
      </c>
      <c r="R13" s="14" t="s">
        <v>90</v>
      </c>
      <c r="S13" s="14" t="s">
        <v>102</v>
      </c>
      <c r="T13" s="14" t="s">
        <v>92</v>
      </c>
      <c r="U13" s="14" t="s">
        <v>92</v>
      </c>
      <c r="V13" s="14" t="s">
        <v>92</v>
      </c>
      <c r="W13" s="14" t="s">
        <v>92</v>
      </c>
      <c r="X13" s="14" t="s">
        <v>109</v>
      </c>
      <c r="Y13" s="14" t="s">
        <v>90</v>
      </c>
      <c r="Z13" s="14" t="s">
        <v>90</v>
      </c>
      <c r="AA13" s="14" t="s">
        <v>90</v>
      </c>
      <c r="AB13" s="14" t="s">
        <v>93</v>
      </c>
      <c r="AC13" s="14" t="s">
        <v>93</v>
      </c>
      <c r="AD13" s="14" t="s">
        <v>94</v>
      </c>
      <c r="AE13" s="3" t="s">
        <v>105</v>
      </c>
      <c r="AF13" s="14" t="s">
        <v>88</v>
      </c>
    </row>
    <row r="14" customFormat="false" ht="12.75" hidden="false" customHeight="false" outlineLevel="0" collapsed="false">
      <c r="A14" s="3" t="s">
        <v>101</v>
      </c>
      <c r="B14" s="3" t="n">
        <v>12</v>
      </c>
      <c r="C14" s="11" t="n">
        <v>137000</v>
      </c>
      <c r="D14" s="11" t="n">
        <v>515000</v>
      </c>
      <c r="E14" s="11" t="n">
        <v>136995.398</v>
      </c>
      <c r="F14" s="11" t="n">
        <v>514998.746</v>
      </c>
      <c r="G14" s="12" t="n">
        <v>45579</v>
      </c>
      <c r="H14" s="13" t="n">
        <v>3.284</v>
      </c>
      <c r="I14" s="13" t="n">
        <v>0.2</v>
      </c>
      <c r="J14" s="11" t="n">
        <v>0</v>
      </c>
      <c r="K14" s="14" t="s">
        <v>88</v>
      </c>
      <c r="L14" s="14" t="s">
        <v>88</v>
      </c>
      <c r="M14" s="14" t="s">
        <v>88</v>
      </c>
      <c r="N14" s="14" t="s">
        <v>88</v>
      </c>
      <c r="O14" s="14" t="s">
        <v>102</v>
      </c>
      <c r="P14" s="14" t="s">
        <v>89</v>
      </c>
      <c r="Q14" s="14" t="s">
        <v>90</v>
      </c>
      <c r="R14" s="14" t="s">
        <v>89</v>
      </c>
      <c r="S14" s="14" t="s">
        <v>89</v>
      </c>
      <c r="T14" s="14" t="s">
        <v>109</v>
      </c>
      <c r="U14" s="14" t="s">
        <v>91</v>
      </c>
      <c r="V14" s="14" t="s">
        <v>91</v>
      </c>
      <c r="W14" s="14" t="s">
        <v>91</v>
      </c>
      <c r="X14" s="14" t="s">
        <v>91</v>
      </c>
      <c r="Y14" s="14" t="s">
        <v>88</v>
      </c>
      <c r="Z14" s="14" t="s">
        <v>88</v>
      </c>
      <c r="AA14" s="14" t="s">
        <v>88</v>
      </c>
      <c r="AB14" s="14" t="s">
        <v>90</v>
      </c>
      <c r="AC14" s="14" t="s">
        <v>90</v>
      </c>
      <c r="AD14" s="14" t="s">
        <v>98</v>
      </c>
      <c r="AE14" s="3" t="s">
        <v>105</v>
      </c>
      <c r="AF14" s="14" t="s">
        <v>88</v>
      </c>
    </row>
    <row r="15" customFormat="false" ht="12.75" hidden="false" customHeight="false" outlineLevel="0" collapsed="false">
      <c r="A15" s="3" t="s">
        <v>87</v>
      </c>
      <c r="B15" s="3" t="n">
        <v>13</v>
      </c>
      <c r="C15" s="11" t="n">
        <v>141000</v>
      </c>
      <c r="D15" s="11" t="n">
        <v>515000</v>
      </c>
      <c r="E15" s="11" t="n">
        <v>140999.921</v>
      </c>
      <c r="F15" s="11" t="n">
        <v>514998.245</v>
      </c>
      <c r="G15" s="12" t="n">
        <v>45580</v>
      </c>
      <c r="H15" s="13" t="n">
        <v>3.532</v>
      </c>
      <c r="I15" s="13" t="n">
        <v>1</v>
      </c>
      <c r="J15" s="13" t="n">
        <v>4</v>
      </c>
      <c r="K15" s="14" t="s">
        <v>88</v>
      </c>
      <c r="L15" s="14" t="s">
        <v>88</v>
      </c>
      <c r="M15" s="14" t="s">
        <v>88</v>
      </c>
      <c r="N15" s="14" t="s">
        <v>88</v>
      </c>
      <c r="O15" s="14" t="s">
        <v>110</v>
      </c>
      <c r="P15" s="14" t="s">
        <v>110</v>
      </c>
      <c r="Q15" s="14" t="s">
        <v>110</v>
      </c>
      <c r="R15" s="14" t="s">
        <v>110</v>
      </c>
      <c r="S15" s="14" t="s">
        <v>103</v>
      </c>
      <c r="T15" s="14" t="s">
        <v>92</v>
      </c>
      <c r="U15" s="14" t="s">
        <v>92</v>
      </c>
      <c r="V15" s="14" t="s">
        <v>92</v>
      </c>
      <c r="W15" s="14" t="s">
        <v>92</v>
      </c>
      <c r="X15" s="14" t="s">
        <v>91</v>
      </c>
      <c r="Y15" s="14" t="s">
        <v>88</v>
      </c>
      <c r="Z15" s="14" t="s">
        <v>90</v>
      </c>
      <c r="AA15" s="14" t="s">
        <v>93</v>
      </c>
      <c r="AB15" s="14" t="s">
        <v>90</v>
      </c>
      <c r="AC15" s="14" t="s">
        <v>90</v>
      </c>
      <c r="AD15" s="14" t="s">
        <v>98</v>
      </c>
      <c r="AE15" s="3" t="s">
        <v>95</v>
      </c>
      <c r="AF15" s="14" t="s">
        <v>88</v>
      </c>
    </row>
    <row r="16" customFormat="false" ht="12.75" hidden="false" customHeight="false" outlineLevel="0" collapsed="false">
      <c r="A16" s="3" t="s">
        <v>87</v>
      </c>
      <c r="B16" s="3" t="n">
        <v>14</v>
      </c>
      <c r="C16" s="11" t="n">
        <v>145000</v>
      </c>
      <c r="D16" s="11" t="n">
        <v>515000</v>
      </c>
      <c r="E16" s="11" t="n">
        <v>144995.34</v>
      </c>
      <c r="F16" s="11" t="n">
        <v>514993.025</v>
      </c>
      <c r="G16" s="12" t="n">
        <v>45580</v>
      </c>
      <c r="H16" s="13" t="n">
        <v>3.656</v>
      </c>
      <c r="I16" s="13" t="n">
        <v>1.6</v>
      </c>
      <c r="J16" s="13" t="n">
        <v>5</v>
      </c>
      <c r="K16" s="14" t="s">
        <v>88</v>
      </c>
      <c r="L16" s="14" t="s">
        <v>88</v>
      </c>
      <c r="M16" s="14" t="s">
        <v>88</v>
      </c>
      <c r="N16" s="14" t="s">
        <v>88</v>
      </c>
      <c r="O16" s="14" t="s">
        <v>90</v>
      </c>
      <c r="P16" s="14" t="s">
        <v>89</v>
      </c>
      <c r="Q16" s="14" t="s">
        <v>89</v>
      </c>
      <c r="R16" s="14" t="s">
        <v>89</v>
      </c>
      <c r="S16" s="14" t="s">
        <v>89</v>
      </c>
      <c r="T16" s="14" t="s">
        <v>92</v>
      </c>
      <c r="U16" s="14" t="s">
        <v>91</v>
      </c>
      <c r="V16" s="14" t="s">
        <v>91</v>
      </c>
      <c r="W16" s="14" t="s">
        <v>91</v>
      </c>
      <c r="X16" s="14" t="s">
        <v>91</v>
      </c>
      <c r="Y16" s="14" t="s">
        <v>88</v>
      </c>
      <c r="Z16" s="14" t="s">
        <v>88</v>
      </c>
      <c r="AA16" s="14" t="s">
        <v>88</v>
      </c>
      <c r="AB16" s="14" t="s">
        <v>88</v>
      </c>
      <c r="AC16" s="14" t="s">
        <v>88</v>
      </c>
      <c r="AD16" s="14" t="s">
        <v>98</v>
      </c>
      <c r="AE16" s="3" t="s">
        <v>95</v>
      </c>
      <c r="AF16" s="14" t="s">
        <v>88</v>
      </c>
    </row>
    <row r="17" customFormat="false" ht="12.75" hidden="false" customHeight="false" outlineLevel="0" collapsed="false">
      <c r="A17" s="3" t="s">
        <v>87</v>
      </c>
      <c r="B17" s="3" t="n">
        <v>15</v>
      </c>
      <c r="C17" s="11" t="n">
        <v>149000</v>
      </c>
      <c r="D17" s="11" t="n">
        <v>515000</v>
      </c>
      <c r="E17" s="11" t="n">
        <v>149000.7</v>
      </c>
      <c r="F17" s="11" t="n">
        <v>514982.15</v>
      </c>
      <c r="G17" s="12" t="n">
        <v>45580</v>
      </c>
      <c r="H17" s="13" t="n">
        <v>3.352</v>
      </c>
      <c r="I17" s="11" t="n">
        <v>0</v>
      </c>
      <c r="J17" s="13" t="n">
        <v>2.4</v>
      </c>
      <c r="K17" s="14" t="s">
        <v>88</v>
      </c>
      <c r="L17" s="14" t="s">
        <v>88</v>
      </c>
      <c r="M17" s="14" t="s">
        <v>88</v>
      </c>
      <c r="N17" s="14" t="s">
        <v>88</v>
      </c>
      <c r="O17" s="14" t="s">
        <v>90</v>
      </c>
      <c r="P17" s="14" t="s">
        <v>90</v>
      </c>
      <c r="Q17" s="14" t="s">
        <v>90</v>
      </c>
      <c r="R17" s="14" t="s">
        <v>90</v>
      </c>
      <c r="S17" s="14" t="s">
        <v>90</v>
      </c>
      <c r="T17" s="14" t="s">
        <v>92</v>
      </c>
      <c r="U17" s="14" t="s">
        <v>92</v>
      </c>
      <c r="V17" s="14" t="s">
        <v>92</v>
      </c>
      <c r="W17" s="14" t="s">
        <v>92</v>
      </c>
      <c r="X17" s="14" t="s">
        <v>92</v>
      </c>
      <c r="Y17" s="14" t="s">
        <v>88</v>
      </c>
      <c r="Z17" s="14" t="s">
        <v>90</v>
      </c>
      <c r="AA17" s="14" t="s">
        <v>90</v>
      </c>
      <c r="AB17" s="14" t="s">
        <v>90</v>
      </c>
      <c r="AC17" s="14" t="s">
        <v>90</v>
      </c>
      <c r="AD17" s="14" t="s">
        <v>98</v>
      </c>
      <c r="AE17" s="3" t="s">
        <v>95</v>
      </c>
      <c r="AF17" s="14" t="s">
        <v>88</v>
      </c>
    </row>
    <row r="18" customFormat="false" ht="12.75" hidden="false" customHeight="false" outlineLevel="0" collapsed="false">
      <c r="A18" s="3" t="s">
        <v>87</v>
      </c>
      <c r="B18" s="3" t="n">
        <v>16</v>
      </c>
      <c r="C18" s="11" t="n">
        <v>153000</v>
      </c>
      <c r="D18" s="11" t="n">
        <v>515000</v>
      </c>
      <c r="E18" s="11" t="n">
        <v>152996.332</v>
      </c>
      <c r="F18" s="11" t="n">
        <v>515009.049</v>
      </c>
      <c r="G18" s="12" t="n">
        <v>45582</v>
      </c>
      <c r="H18" s="13" t="n">
        <v>3.358</v>
      </c>
      <c r="I18" s="13" t="n">
        <v>1.5</v>
      </c>
      <c r="J18" s="13" t="n">
        <v>1</v>
      </c>
      <c r="K18" s="14" t="s">
        <v>88</v>
      </c>
      <c r="L18" s="14" t="n">
        <v>2</v>
      </c>
      <c r="M18" s="14" t="n">
        <v>2</v>
      </c>
      <c r="N18" s="14" t="s">
        <v>88</v>
      </c>
      <c r="O18" s="14" t="s">
        <v>90</v>
      </c>
      <c r="P18" s="14" t="s">
        <v>90</v>
      </c>
      <c r="Q18" s="14" t="s">
        <v>90</v>
      </c>
      <c r="R18" s="14" t="s">
        <v>90</v>
      </c>
      <c r="S18" s="14" t="s">
        <v>90</v>
      </c>
      <c r="T18" s="14" t="s">
        <v>107</v>
      </c>
      <c r="U18" s="14" t="s">
        <v>107</v>
      </c>
      <c r="V18" s="14" t="s">
        <v>107</v>
      </c>
      <c r="W18" s="14" t="s">
        <v>107</v>
      </c>
      <c r="X18" s="14" t="s">
        <v>107</v>
      </c>
      <c r="Y18" s="14" t="s">
        <v>111</v>
      </c>
      <c r="Z18" s="14" t="s">
        <v>88</v>
      </c>
      <c r="AA18" s="14" t="s">
        <v>88</v>
      </c>
      <c r="AB18" s="14" t="s">
        <v>88</v>
      </c>
      <c r="AC18" s="14" t="s">
        <v>93</v>
      </c>
      <c r="AD18" s="14" t="s">
        <v>98</v>
      </c>
      <c r="AE18" s="3" t="s">
        <v>108</v>
      </c>
      <c r="AF18" s="14" t="s">
        <v>88</v>
      </c>
    </row>
    <row r="19" customFormat="false" ht="12.75" hidden="false" customHeight="false" outlineLevel="0" collapsed="false">
      <c r="A19" s="3" t="s">
        <v>87</v>
      </c>
      <c r="B19" s="3" t="n">
        <v>17</v>
      </c>
      <c r="C19" s="11" t="n">
        <v>157000</v>
      </c>
      <c r="D19" s="11" t="n">
        <v>515000</v>
      </c>
      <c r="E19" s="11" t="n">
        <v>156996.474</v>
      </c>
      <c r="F19" s="11" t="n">
        <v>514986.69</v>
      </c>
      <c r="G19" s="12" t="n">
        <v>45582</v>
      </c>
      <c r="H19" s="13" t="n">
        <v>3.892</v>
      </c>
      <c r="I19" s="13" t="n">
        <v>1.2</v>
      </c>
      <c r="J19" s="13" t="n">
        <v>2.5</v>
      </c>
      <c r="K19" s="14" t="s">
        <v>88</v>
      </c>
      <c r="L19" s="14" t="n">
        <v>3</v>
      </c>
      <c r="M19" s="14" t="n">
        <v>6</v>
      </c>
      <c r="N19" s="14" t="s">
        <v>88</v>
      </c>
      <c r="O19" s="14" t="s">
        <v>89</v>
      </c>
      <c r="P19" s="14" t="s">
        <v>89</v>
      </c>
      <c r="Q19" s="14" t="s">
        <v>89</v>
      </c>
      <c r="R19" s="14" t="s">
        <v>89</v>
      </c>
      <c r="S19" s="14" t="s">
        <v>89</v>
      </c>
      <c r="T19" s="14" t="s">
        <v>106</v>
      </c>
      <c r="U19" s="14" t="s">
        <v>106</v>
      </c>
      <c r="V19" s="14" t="s">
        <v>106</v>
      </c>
      <c r="W19" s="14" t="s">
        <v>106</v>
      </c>
      <c r="X19" s="14" t="s">
        <v>106</v>
      </c>
      <c r="Y19" s="14" t="s">
        <v>90</v>
      </c>
      <c r="Z19" s="14" t="s">
        <v>90</v>
      </c>
      <c r="AA19" s="14" t="s">
        <v>88</v>
      </c>
      <c r="AB19" s="14" t="s">
        <v>111</v>
      </c>
      <c r="AC19" s="14" t="s">
        <v>88</v>
      </c>
      <c r="AD19" s="14" t="s">
        <v>98</v>
      </c>
      <c r="AE19" s="3" t="s">
        <v>108</v>
      </c>
      <c r="AF19" s="14" t="s">
        <v>88</v>
      </c>
    </row>
    <row r="20" customFormat="false" ht="12.75" hidden="false" customHeight="false" outlineLevel="0" collapsed="false">
      <c r="A20" s="3" t="s">
        <v>101</v>
      </c>
      <c r="B20" s="3" t="n">
        <v>18</v>
      </c>
      <c r="C20" s="11" t="n">
        <v>131000</v>
      </c>
      <c r="D20" s="11" t="n">
        <v>513000</v>
      </c>
      <c r="E20" s="11" t="n">
        <v>131001.154</v>
      </c>
      <c r="F20" s="11" t="n">
        <v>513006.954</v>
      </c>
      <c r="G20" s="12" t="n">
        <v>45579</v>
      </c>
      <c r="H20" s="13" t="n">
        <v>2.42</v>
      </c>
      <c r="I20" s="13" t="n">
        <v>13.2</v>
      </c>
      <c r="J20" s="13" t="n">
        <v>22.3</v>
      </c>
      <c r="K20" s="14" t="s">
        <v>88</v>
      </c>
      <c r="L20" s="14" t="s">
        <v>88</v>
      </c>
      <c r="M20" s="14" t="s">
        <v>88</v>
      </c>
      <c r="N20" s="14" t="s">
        <v>88</v>
      </c>
      <c r="O20" s="14" t="s">
        <v>110</v>
      </c>
      <c r="P20" s="14" t="s">
        <v>110</v>
      </c>
      <c r="Q20" s="14" t="s">
        <v>110</v>
      </c>
      <c r="R20" s="14" t="s">
        <v>110</v>
      </c>
      <c r="S20" s="14" t="s">
        <v>110</v>
      </c>
      <c r="T20" s="14" t="s">
        <v>92</v>
      </c>
      <c r="U20" s="14" t="s">
        <v>92</v>
      </c>
      <c r="V20" s="14" t="s">
        <v>92</v>
      </c>
      <c r="W20" s="14" t="s">
        <v>92</v>
      </c>
      <c r="X20" s="14" t="s">
        <v>92</v>
      </c>
      <c r="Y20" s="14" t="s">
        <v>90</v>
      </c>
      <c r="Z20" s="14" t="s">
        <v>90</v>
      </c>
      <c r="AA20" s="14" t="s">
        <v>93</v>
      </c>
      <c r="AB20" s="14" t="s">
        <v>93</v>
      </c>
      <c r="AC20" s="14" t="s">
        <v>93</v>
      </c>
      <c r="AD20" s="14" t="s">
        <v>94</v>
      </c>
      <c r="AE20" s="3" t="s">
        <v>105</v>
      </c>
      <c r="AF20" s="14" t="s">
        <v>88</v>
      </c>
    </row>
    <row r="21" customFormat="false" ht="12.75" hidden="false" customHeight="false" outlineLevel="0" collapsed="false">
      <c r="A21" s="3" t="s">
        <v>101</v>
      </c>
      <c r="B21" s="3" t="n">
        <v>19</v>
      </c>
      <c r="C21" s="11" t="n">
        <v>135000</v>
      </c>
      <c r="D21" s="11" t="n">
        <v>513000</v>
      </c>
      <c r="E21" s="11" t="n">
        <v>134999.753</v>
      </c>
      <c r="F21" s="11" t="n">
        <v>513004.59</v>
      </c>
      <c r="G21" s="12" t="n">
        <v>45579</v>
      </c>
      <c r="H21" s="13" t="n">
        <v>3.304</v>
      </c>
      <c r="I21" s="13" t="n">
        <v>0.9</v>
      </c>
      <c r="J21" s="13" t="n">
        <v>0.9</v>
      </c>
      <c r="K21" s="14" t="s">
        <v>88</v>
      </c>
      <c r="L21" s="14" t="s">
        <v>88</v>
      </c>
      <c r="M21" s="14" t="s">
        <v>88</v>
      </c>
      <c r="N21" s="14" t="s">
        <v>88</v>
      </c>
      <c r="O21" s="14" t="s">
        <v>112</v>
      </c>
      <c r="P21" s="14" t="s">
        <v>102</v>
      </c>
      <c r="Q21" s="14" t="s">
        <v>102</v>
      </c>
      <c r="R21" s="14" t="s">
        <v>102</v>
      </c>
      <c r="S21" s="14" t="s">
        <v>102</v>
      </c>
      <c r="T21" s="14" t="s">
        <v>104</v>
      </c>
      <c r="U21" s="14" t="s">
        <v>104</v>
      </c>
      <c r="V21" s="14" t="s">
        <v>104</v>
      </c>
      <c r="W21" s="14" t="s">
        <v>104</v>
      </c>
      <c r="X21" s="14" t="s">
        <v>104</v>
      </c>
      <c r="Y21" s="14" t="s">
        <v>90</v>
      </c>
      <c r="Z21" s="14" t="s">
        <v>88</v>
      </c>
      <c r="AA21" s="14" t="s">
        <v>90</v>
      </c>
      <c r="AB21" s="14" t="s">
        <v>90</v>
      </c>
      <c r="AC21" s="14" t="s">
        <v>88</v>
      </c>
      <c r="AD21" s="14" t="s">
        <v>98</v>
      </c>
      <c r="AE21" s="3" t="s">
        <v>105</v>
      </c>
      <c r="AF21" s="14" t="s">
        <v>88</v>
      </c>
    </row>
    <row r="22" customFormat="false" ht="12.75" hidden="false" customHeight="false" outlineLevel="0" collapsed="false">
      <c r="A22" s="3" t="s">
        <v>101</v>
      </c>
      <c r="B22" s="3" t="n">
        <v>20</v>
      </c>
      <c r="C22" s="11" t="n">
        <v>139000</v>
      </c>
      <c r="D22" s="11" t="n">
        <v>513000</v>
      </c>
      <c r="E22" s="11" t="n">
        <v>139010.247</v>
      </c>
      <c r="F22" s="11" t="n">
        <v>513001.444</v>
      </c>
      <c r="G22" s="12" t="n">
        <v>45579</v>
      </c>
      <c r="H22" s="13" t="n">
        <v>3.958</v>
      </c>
      <c r="I22" s="13" t="n">
        <v>0.8</v>
      </c>
      <c r="J22" s="13" t="n">
        <v>1.9</v>
      </c>
      <c r="K22" s="14" t="s">
        <v>88</v>
      </c>
      <c r="L22" s="14" t="s">
        <v>88</v>
      </c>
      <c r="M22" s="14" t="s">
        <v>88</v>
      </c>
      <c r="N22" s="14" t="s">
        <v>88</v>
      </c>
      <c r="O22" s="14" t="s">
        <v>112</v>
      </c>
      <c r="P22" s="14" t="s">
        <v>102</v>
      </c>
      <c r="Q22" s="14" t="s">
        <v>102</v>
      </c>
      <c r="R22" s="14" t="s">
        <v>102</v>
      </c>
      <c r="S22" s="14" t="s">
        <v>112</v>
      </c>
      <c r="T22" s="14" t="s">
        <v>104</v>
      </c>
      <c r="U22" s="14" t="s">
        <v>97</v>
      </c>
      <c r="V22" s="14" t="s">
        <v>104</v>
      </c>
      <c r="W22" s="14" t="s">
        <v>104</v>
      </c>
      <c r="X22" s="14" t="s">
        <v>109</v>
      </c>
      <c r="Y22" s="14" t="s">
        <v>88</v>
      </c>
      <c r="Z22" s="14" t="s">
        <v>88</v>
      </c>
      <c r="AA22" s="14" t="s">
        <v>88</v>
      </c>
      <c r="AB22" s="14" t="s">
        <v>90</v>
      </c>
      <c r="AC22" s="14" t="s">
        <v>93</v>
      </c>
      <c r="AD22" s="14" t="s">
        <v>98</v>
      </c>
      <c r="AE22" s="3" t="s">
        <v>105</v>
      </c>
      <c r="AF22" s="14" t="s">
        <v>88</v>
      </c>
    </row>
    <row r="23" customFormat="false" ht="12.75" hidden="false" customHeight="false" outlineLevel="0" collapsed="false">
      <c r="A23" s="3" t="s">
        <v>87</v>
      </c>
      <c r="B23" s="3" t="n">
        <v>21</v>
      </c>
      <c r="C23" s="11" t="n">
        <v>143000</v>
      </c>
      <c r="D23" s="11" t="n">
        <v>513000</v>
      </c>
      <c r="E23" s="11" t="n">
        <v>142998.019</v>
      </c>
      <c r="F23" s="11" t="n">
        <v>512995.182</v>
      </c>
      <c r="G23" s="12" t="n">
        <v>45580</v>
      </c>
      <c r="H23" s="13" t="n">
        <v>3.835</v>
      </c>
      <c r="I23" s="13" t="n">
        <v>4.7</v>
      </c>
      <c r="J23" s="13" t="n">
        <v>7.5</v>
      </c>
      <c r="K23" s="14" t="s">
        <v>88</v>
      </c>
      <c r="L23" s="14" t="s">
        <v>88</v>
      </c>
      <c r="M23" s="14" t="s">
        <v>88</v>
      </c>
      <c r="N23" s="14" t="s">
        <v>88</v>
      </c>
      <c r="O23" s="14" t="s">
        <v>110</v>
      </c>
      <c r="P23" s="14" t="s">
        <v>110</v>
      </c>
      <c r="Q23" s="14" t="s">
        <v>96</v>
      </c>
      <c r="R23" s="14" t="s">
        <v>89</v>
      </c>
      <c r="S23" s="14" t="s">
        <v>102</v>
      </c>
      <c r="T23" s="14" t="s">
        <v>92</v>
      </c>
      <c r="U23" s="14" t="s">
        <v>92</v>
      </c>
      <c r="V23" s="14" t="s">
        <v>97</v>
      </c>
      <c r="W23" s="14" t="s">
        <v>91</v>
      </c>
      <c r="X23" s="14" t="s">
        <v>109</v>
      </c>
      <c r="Y23" s="14" t="s">
        <v>90</v>
      </c>
      <c r="Z23" s="14" t="s">
        <v>90</v>
      </c>
      <c r="AA23" s="14" t="s">
        <v>93</v>
      </c>
      <c r="AB23" s="14" t="s">
        <v>93</v>
      </c>
      <c r="AC23" s="14" t="s">
        <v>90</v>
      </c>
      <c r="AD23" s="14" t="s">
        <v>94</v>
      </c>
      <c r="AE23" s="3" t="s">
        <v>95</v>
      </c>
      <c r="AF23" s="14" t="s">
        <v>88</v>
      </c>
    </row>
    <row r="24" customFormat="false" ht="12.75" hidden="false" customHeight="false" outlineLevel="0" collapsed="false">
      <c r="A24" s="3" t="s">
        <v>87</v>
      </c>
      <c r="B24" s="3" t="n">
        <v>22</v>
      </c>
      <c r="C24" s="11" t="n">
        <v>147000</v>
      </c>
      <c r="D24" s="11" t="n">
        <v>513000</v>
      </c>
      <c r="E24" s="11" t="n">
        <v>146995.485</v>
      </c>
      <c r="F24" s="11" t="n">
        <v>512998.269</v>
      </c>
      <c r="G24" s="12" t="n">
        <v>45580</v>
      </c>
      <c r="H24" s="13" t="n">
        <v>3.76</v>
      </c>
      <c r="I24" s="13" t="n">
        <v>1.1</v>
      </c>
      <c r="J24" s="13" t="n">
        <v>4</v>
      </c>
      <c r="K24" s="14" t="s">
        <v>88</v>
      </c>
      <c r="L24" s="14" t="s">
        <v>88</v>
      </c>
      <c r="M24" s="14" t="s">
        <v>88</v>
      </c>
      <c r="N24" s="14" t="s">
        <v>88</v>
      </c>
      <c r="O24" s="14" t="s">
        <v>89</v>
      </c>
      <c r="P24" s="14" t="s">
        <v>90</v>
      </c>
      <c r="Q24" s="14" t="s">
        <v>90</v>
      </c>
      <c r="R24" s="14" t="s">
        <v>89</v>
      </c>
      <c r="S24" s="14" t="s">
        <v>89</v>
      </c>
      <c r="T24" s="14" t="s">
        <v>91</v>
      </c>
      <c r="U24" s="14" t="s">
        <v>92</v>
      </c>
      <c r="V24" s="14" t="s">
        <v>92</v>
      </c>
      <c r="W24" s="14" t="s">
        <v>91</v>
      </c>
      <c r="X24" s="14" t="s">
        <v>91</v>
      </c>
      <c r="Y24" s="14" t="s">
        <v>99</v>
      </c>
      <c r="Z24" s="14" t="s">
        <v>93</v>
      </c>
      <c r="AA24" s="14" t="s">
        <v>99</v>
      </c>
      <c r="AB24" s="14" t="s">
        <v>88</v>
      </c>
      <c r="AC24" s="14" t="s">
        <v>88</v>
      </c>
      <c r="AD24" s="14" t="s">
        <v>98</v>
      </c>
      <c r="AE24" s="3" t="s">
        <v>95</v>
      </c>
      <c r="AF24" s="14" t="s">
        <v>88</v>
      </c>
    </row>
    <row r="25" customFormat="false" ht="12.75" hidden="false" customHeight="false" outlineLevel="0" collapsed="false">
      <c r="A25" s="3" t="s">
        <v>87</v>
      </c>
      <c r="B25" s="3" t="n">
        <v>23</v>
      </c>
      <c r="C25" s="11" t="n">
        <v>151000</v>
      </c>
      <c r="D25" s="11" t="n">
        <v>513000</v>
      </c>
      <c r="E25" s="11" t="n">
        <v>151003.567</v>
      </c>
      <c r="F25" s="11" t="n">
        <v>512998.043</v>
      </c>
      <c r="G25" s="12" t="n">
        <v>45582</v>
      </c>
      <c r="H25" s="13" t="n">
        <v>3.756</v>
      </c>
      <c r="I25" s="11" t="n">
        <v>0</v>
      </c>
      <c r="J25" s="13" t="n">
        <v>0.4</v>
      </c>
      <c r="K25" s="14" t="s">
        <v>88</v>
      </c>
      <c r="L25" s="14" t="s">
        <v>88</v>
      </c>
      <c r="M25" s="14" t="s">
        <v>88</v>
      </c>
      <c r="N25" s="14" t="s">
        <v>88</v>
      </c>
      <c r="O25" s="14" t="s">
        <v>89</v>
      </c>
      <c r="P25" s="14" t="s">
        <v>103</v>
      </c>
      <c r="Q25" s="14" t="s">
        <v>103</v>
      </c>
      <c r="R25" s="14" t="s">
        <v>96</v>
      </c>
      <c r="S25" s="14" t="s">
        <v>89</v>
      </c>
      <c r="T25" s="14" t="s">
        <v>106</v>
      </c>
      <c r="U25" s="14" t="s">
        <v>92</v>
      </c>
      <c r="V25" s="14" t="s">
        <v>97</v>
      </c>
      <c r="W25" s="14" t="s">
        <v>97</v>
      </c>
      <c r="X25" s="14" t="s">
        <v>106</v>
      </c>
      <c r="Y25" s="14" t="s">
        <v>93</v>
      </c>
      <c r="Z25" s="14" t="s">
        <v>88</v>
      </c>
      <c r="AA25" s="14" t="s">
        <v>88</v>
      </c>
      <c r="AB25" s="14" t="s">
        <v>88</v>
      </c>
      <c r="AC25" s="14" t="s">
        <v>90</v>
      </c>
      <c r="AD25" s="14" t="s">
        <v>98</v>
      </c>
      <c r="AE25" s="3" t="s">
        <v>108</v>
      </c>
      <c r="AF25" s="14" t="s">
        <v>88</v>
      </c>
    </row>
    <row r="26" customFormat="false" ht="12.75" hidden="false" customHeight="false" outlineLevel="0" collapsed="false">
      <c r="A26" s="3" t="s">
        <v>87</v>
      </c>
      <c r="B26" s="3" t="n">
        <v>24</v>
      </c>
      <c r="C26" s="11" t="n">
        <v>155211.66709</v>
      </c>
      <c r="D26" s="11" t="n">
        <v>513185.208704</v>
      </c>
      <c r="E26" s="11" t="n">
        <v>155211.006</v>
      </c>
      <c r="F26" s="11" t="n">
        <v>513188.036</v>
      </c>
      <c r="G26" s="12" t="n">
        <v>45582</v>
      </c>
      <c r="H26" s="13" t="n">
        <v>3.426</v>
      </c>
      <c r="I26" s="11" t="n">
        <v>0</v>
      </c>
      <c r="J26" s="11" t="n">
        <v>0</v>
      </c>
      <c r="K26" s="14" t="s">
        <v>88</v>
      </c>
      <c r="L26" s="14" t="s">
        <v>88</v>
      </c>
      <c r="M26" s="14" t="s">
        <v>88</v>
      </c>
      <c r="N26" s="14" t="s">
        <v>88</v>
      </c>
      <c r="O26" s="14" t="s">
        <v>96</v>
      </c>
      <c r="P26" s="14" t="s">
        <v>96</v>
      </c>
      <c r="Q26" s="14" t="s">
        <v>96</v>
      </c>
      <c r="R26" s="14" t="s">
        <v>96</v>
      </c>
      <c r="S26" s="14" t="s">
        <v>96</v>
      </c>
      <c r="T26" s="14" t="s">
        <v>97</v>
      </c>
      <c r="U26" s="14" t="s">
        <v>97</v>
      </c>
      <c r="V26" s="14" t="s">
        <v>97</v>
      </c>
      <c r="W26" s="14" t="s">
        <v>97</v>
      </c>
      <c r="X26" s="14" t="s">
        <v>97</v>
      </c>
      <c r="Y26" s="14" t="s">
        <v>88</v>
      </c>
      <c r="Z26" s="14" t="s">
        <v>88</v>
      </c>
      <c r="AA26" s="14" t="s">
        <v>88</v>
      </c>
      <c r="AB26" s="14" t="s">
        <v>88</v>
      </c>
      <c r="AC26" s="14" t="s">
        <v>88</v>
      </c>
      <c r="AD26" s="14" t="s">
        <v>98</v>
      </c>
      <c r="AE26" s="3" t="s">
        <v>108</v>
      </c>
      <c r="AF26" s="14" t="s">
        <v>88</v>
      </c>
    </row>
    <row r="27" customFormat="false" ht="12.75" hidden="false" customHeight="false" outlineLevel="0" collapsed="false">
      <c r="A27" s="3" t="s">
        <v>101</v>
      </c>
      <c r="B27" s="3" t="n">
        <v>25</v>
      </c>
      <c r="C27" s="11" t="n">
        <v>133000</v>
      </c>
      <c r="D27" s="11" t="n">
        <v>511000</v>
      </c>
      <c r="E27" s="11" t="n">
        <v>133001.343</v>
      </c>
      <c r="F27" s="11" t="n">
        <v>510997.795</v>
      </c>
      <c r="G27" s="12" t="n">
        <v>45579</v>
      </c>
      <c r="H27" s="13" t="n">
        <v>3.004</v>
      </c>
      <c r="I27" s="13" t="n">
        <v>1.2</v>
      </c>
      <c r="J27" s="13" t="n">
        <v>3.9</v>
      </c>
      <c r="K27" s="14" t="s">
        <v>88</v>
      </c>
      <c r="L27" s="14" t="s">
        <v>88</v>
      </c>
      <c r="M27" s="14" t="s">
        <v>88</v>
      </c>
      <c r="N27" s="14" t="s">
        <v>88</v>
      </c>
      <c r="O27" s="14" t="s">
        <v>102</v>
      </c>
      <c r="P27" s="14" t="s">
        <v>110</v>
      </c>
      <c r="Q27" s="14" t="s">
        <v>102</v>
      </c>
      <c r="R27" s="14" t="s">
        <v>110</v>
      </c>
      <c r="S27" s="14" t="s">
        <v>102</v>
      </c>
      <c r="T27" s="14" t="s">
        <v>104</v>
      </c>
      <c r="U27" s="14" t="s">
        <v>91</v>
      </c>
      <c r="V27" s="14" t="s">
        <v>97</v>
      </c>
      <c r="W27" s="14" t="s">
        <v>91</v>
      </c>
      <c r="X27" s="14" t="s">
        <v>104</v>
      </c>
      <c r="Y27" s="14" t="s">
        <v>90</v>
      </c>
      <c r="Z27" s="14" t="s">
        <v>90</v>
      </c>
      <c r="AA27" s="14" t="s">
        <v>90</v>
      </c>
      <c r="AB27" s="14" t="s">
        <v>90</v>
      </c>
      <c r="AC27" s="14" t="s">
        <v>90</v>
      </c>
      <c r="AD27" s="14" t="s">
        <v>98</v>
      </c>
      <c r="AE27" s="3" t="s">
        <v>105</v>
      </c>
      <c r="AF27" s="14" t="s">
        <v>88</v>
      </c>
    </row>
    <row r="28" customFormat="false" ht="12.75" hidden="false" customHeight="false" outlineLevel="0" collapsed="false">
      <c r="A28" s="3" t="s">
        <v>101</v>
      </c>
      <c r="B28" s="3" t="n">
        <v>26</v>
      </c>
      <c r="C28" s="11" t="n">
        <v>137000</v>
      </c>
      <c r="D28" s="11" t="n">
        <v>511000</v>
      </c>
      <c r="E28" s="11" t="n">
        <v>136999.53</v>
      </c>
      <c r="F28" s="11" t="n">
        <v>510994.625</v>
      </c>
      <c r="G28" s="12" t="n">
        <v>45579</v>
      </c>
      <c r="H28" s="13" t="n">
        <v>3.496</v>
      </c>
      <c r="I28" s="13" t="n">
        <v>1.1</v>
      </c>
      <c r="J28" s="13" t="n">
        <v>3.1</v>
      </c>
      <c r="K28" s="14" t="s">
        <v>88</v>
      </c>
      <c r="L28" s="14" t="s">
        <v>88</v>
      </c>
      <c r="M28" s="14" t="s">
        <v>88</v>
      </c>
      <c r="N28" s="14" t="s">
        <v>88</v>
      </c>
      <c r="O28" s="14" t="s">
        <v>96</v>
      </c>
      <c r="P28" s="14" t="s">
        <v>112</v>
      </c>
      <c r="Q28" s="14" t="s">
        <v>112</v>
      </c>
      <c r="R28" s="14" t="s">
        <v>113</v>
      </c>
      <c r="S28" s="14" t="s">
        <v>96</v>
      </c>
      <c r="T28" s="14" t="s">
        <v>91</v>
      </c>
      <c r="U28" s="14" t="s">
        <v>109</v>
      </c>
      <c r="V28" s="14" t="s">
        <v>109</v>
      </c>
      <c r="W28" s="14" t="s">
        <v>109</v>
      </c>
      <c r="X28" s="14" t="s">
        <v>97</v>
      </c>
      <c r="Y28" s="14" t="s">
        <v>90</v>
      </c>
      <c r="Z28" s="14" t="s">
        <v>90</v>
      </c>
      <c r="AA28" s="14" t="s">
        <v>90</v>
      </c>
      <c r="AB28" s="14" t="s">
        <v>90</v>
      </c>
      <c r="AC28" s="14" t="s">
        <v>90</v>
      </c>
      <c r="AD28" s="14" t="s">
        <v>98</v>
      </c>
      <c r="AE28" s="3" t="s">
        <v>105</v>
      </c>
      <c r="AF28" s="14" t="s">
        <v>88</v>
      </c>
    </row>
    <row r="29" customFormat="false" ht="12.75" hidden="false" customHeight="false" outlineLevel="0" collapsed="false">
      <c r="A29" s="3" t="s">
        <v>114</v>
      </c>
      <c r="B29" s="3" t="n">
        <v>27</v>
      </c>
      <c r="C29" s="11" t="n">
        <v>141000</v>
      </c>
      <c r="D29" s="11" t="n">
        <v>511000</v>
      </c>
      <c r="E29" s="11" t="n">
        <v>141004.695</v>
      </c>
      <c r="F29" s="11" t="n">
        <v>510998.256</v>
      </c>
      <c r="G29" s="12" t="n">
        <v>45580</v>
      </c>
      <c r="H29" s="13" t="n">
        <v>3.872</v>
      </c>
      <c r="I29" s="15" t="n">
        <v>0.01</v>
      </c>
      <c r="J29" s="13" t="n">
        <v>0.1</v>
      </c>
      <c r="K29" s="14" t="s">
        <v>88</v>
      </c>
      <c r="L29" s="14" t="s">
        <v>88</v>
      </c>
      <c r="M29" s="14" t="s">
        <v>88</v>
      </c>
      <c r="N29" s="14" t="s">
        <v>88</v>
      </c>
      <c r="O29" s="14" t="s">
        <v>102</v>
      </c>
      <c r="P29" s="14" t="s">
        <v>115</v>
      </c>
      <c r="Q29" s="14" t="s">
        <v>102</v>
      </c>
      <c r="R29" s="14" t="s">
        <v>103</v>
      </c>
      <c r="S29" s="14" t="s">
        <v>103</v>
      </c>
      <c r="T29" s="14" t="s">
        <v>104</v>
      </c>
      <c r="U29" s="14" t="s">
        <v>97</v>
      </c>
      <c r="V29" s="14" t="s">
        <v>104</v>
      </c>
      <c r="W29" s="14" t="s">
        <v>91</v>
      </c>
      <c r="X29" s="14" t="s">
        <v>91</v>
      </c>
      <c r="Y29" s="14" t="s">
        <v>88</v>
      </c>
      <c r="Z29" s="14" t="s">
        <v>90</v>
      </c>
      <c r="AA29" s="14" t="s">
        <v>88</v>
      </c>
      <c r="AB29" s="14" t="s">
        <v>88</v>
      </c>
      <c r="AC29" s="14" t="s">
        <v>90</v>
      </c>
      <c r="AD29" s="14" t="s">
        <v>98</v>
      </c>
      <c r="AE29" s="3" t="s">
        <v>95</v>
      </c>
      <c r="AF29" s="14" t="s">
        <v>88</v>
      </c>
    </row>
    <row r="30" customFormat="false" ht="12.75" hidden="false" customHeight="false" outlineLevel="0" collapsed="false">
      <c r="A30" s="3" t="s">
        <v>114</v>
      </c>
      <c r="B30" s="3" t="n">
        <v>28</v>
      </c>
      <c r="C30" s="11" t="n">
        <v>145000</v>
      </c>
      <c r="D30" s="11" t="n">
        <v>511000</v>
      </c>
      <c r="E30" s="11" t="n">
        <v>145005.884</v>
      </c>
      <c r="F30" s="11" t="n">
        <v>510992.927</v>
      </c>
      <c r="G30" s="12" t="n">
        <v>45580</v>
      </c>
      <c r="H30" s="13" t="n">
        <v>3.842</v>
      </c>
      <c r="I30" s="15" t="n">
        <v>0.01</v>
      </c>
      <c r="J30" s="13" t="n">
        <v>3</v>
      </c>
      <c r="K30" s="14" t="s">
        <v>88</v>
      </c>
      <c r="L30" s="14" t="s">
        <v>88</v>
      </c>
      <c r="M30" s="14" t="s">
        <v>88</v>
      </c>
      <c r="N30" s="14" t="s">
        <v>88</v>
      </c>
      <c r="O30" s="14" t="s">
        <v>89</v>
      </c>
      <c r="P30" s="14" t="s">
        <v>90</v>
      </c>
      <c r="Q30" s="14" t="s">
        <v>90</v>
      </c>
      <c r="R30" s="14" t="s">
        <v>90</v>
      </c>
      <c r="S30" s="14" t="s">
        <v>90</v>
      </c>
      <c r="T30" s="14" t="s">
        <v>91</v>
      </c>
      <c r="U30" s="14" t="s">
        <v>92</v>
      </c>
      <c r="V30" s="14" t="s">
        <v>92</v>
      </c>
      <c r="W30" s="14" t="s">
        <v>92</v>
      </c>
      <c r="X30" s="14" t="s">
        <v>92</v>
      </c>
      <c r="Y30" s="14" t="s">
        <v>90</v>
      </c>
      <c r="Z30" s="14" t="s">
        <v>90</v>
      </c>
      <c r="AA30" s="14" t="s">
        <v>90</v>
      </c>
      <c r="AB30" s="14" t="s">
        <v>90</v>
      </c>
      <c r="AC30" s="14" t="s">
        <v>90</v>
      </c>
      <c r="AD30" s="14" t="s">
        <v>98</v>
      </c>
      <c r="AE30" s="3" t="s">
        <v>95</v>
      </c>
      <c r="AF30" s="14" t="s">
        <v>88</v>
      </c>
    </row>
    <row r="31" customFormat="false" ht="12.75" hidden="false" customHeight="false" outlineLevel="0" collapsed="false">
      <c r="A31" s="3" t="s">
        <v>114</v>
      </c>
      <c r="B31" s="3" t="n">
        <v>29</v>
      </c>
      <c r="C31" s="11" t="n">
        <v>149000</v>
      </c>
      <c r="D31" s="11" t="n">
        <v>511000</v>
      </c>
      <c r="E31" s="11" t="n">
        <v>149013.946</v>
      </c>
      <c r="F31" s="11" t="n">
        <v>511016.225</v>
      </c>
      <c r="G31" s="12" t="n">
        <v>45582</v>
      </c>
      <c r="H31" s="13" t="n">
        <v>3.856</v>
      </c>
      <c r="I31" s="13" t="n">
        <v>0.6</v>
      </c>
      <c r="J31" s="13" t="n">
        <v>0.2</v>
      </c>
      <c r="K31" s="14" t="s">
        <v>88</v>
      </c>
      <c r="L31" s="14" t="s">
        <v>88</v>
      </c>
      <c r="M31" s="14" t="s">
        <v>88</v>
      </c>
      <c r="N31" s="14" t="s">
        <v>88</v>
      </c>
      <c r="O31" s="14" t="s">
        <v>89</v>
      </c>
      <c r="P31" s="14" t="s">
        <v>89</v>
      </c>
      <c r="Q31" s="14" t="s">
        <v>89</v>
      </c>
      <c r="R31" s="14" t="s">
        <v>89</v>
      </c>
      <c r="S31" s="14" t="s">
        <v>89</v>
      </c>
      <c r="T31" s="14" t="s">
        <v>92</v>
      </c>
      <c r="U31" s="14" t="s">
        <v>92</v>
      </c>
      <c r="V31" s="14" t="s">
        <v>92</v>
      </c>
      <c r="W31" s="14" t="s">
        <v>106</v>
      </c>
      <c r="X31" s="14" t="s">
        <v>92</v>
      </c>
      <c r="Y31" s="14" t="s">
        <v>90</v>
      </c>
      <c r="Z31" s="14" t="s">
        <v>88</v>
      </c>
      <c r="AA31" s="14" t="s">
        <v>99</v>
      </c>
      <c r="AB31" s="14" t="s">
        <v>99</v>
      </c>
      <c r="AC31" s="14" t="s">
        <v>88</v>
      </c>
      <c r="AD31" s="14" t="s">
        <v>98</v>
      </c>
      <c r="AE31" s="3" t="s">
        <v>108</v>
      </c>
      <c r="AF31" s="14" t="s">
        <v>88</v>
      </c>
    </row>
    <row r="32" customFormat="false" ht="12.75" hidden="false" customHeight="false" outlineLevel="0" collapsed="false">
      <c r="A32" s="3" t="s">
        <v>114</v>
      </c>
      <c r="B32" s="3" t="n">
        <v>31</v>
      </c>
      <c r="C32" s="11" t="n">
        <v>157000</v>
      </c>
      <c r="D32" s="11" t="n">
        <v>511000</v>
      </c>
      <c r="E32" s="11" t="n">
        <v>157006.237</v>
      </c>
      <c r="F32" s="11" t="n">
        <v>511008.994</v>
      </c>
      <c r="G32" s="12" t="n">
        <v>45582</v>
      </c>
      <c r="H32" s="13" t="n">
        <v>3.894</v>
      </c>
      <c r="I32" s="11" t="n">
        <v>0</v>
      </c>
      <c r="J32" s="11" t="n">
        <v>0</v>
      </c>
      <c r="K32" s="14" t="s">
        <v>88</v>
      </c>
      <c r="L32" s="14" t="n">
        <v>1.5</v>
      </c>
      <c r="M32" s="14" t="n">
        <v>2</v>
      </c>
      <c r="N32" s="14" t="s">
        <v>88</v>
      </c>
      <c r="O32" s="14" t="s">
        <v>96</v>
      </c>
      <c r="P32" s="14" t="s">
        <v>96</v>
      </c>
      <c r="Q32" s="14" t="s">
        <v>96</v>
      </c>
      <c r="R32" s="14" t="s">
        <v>96</v>
      </c>
      <c r="S32" s="14" t="s">
        <v>96</v>
      </c>
      <c r="T32" s="14" t="s">
        <v>97</v>
      </c>
      <c r="U32" s="14" t="s">
        <v>97</v>
      </c>
      <c r="V32" s="14" t="s">
        <v>97</v>
      </c>
      <c r="W32" s="14" t="s">
        <v>97</v>
      </c>
      <c r="X32" s="14" t="s">
        <v>97</v>
      </c>
      <c r="Y32" s="14" t="s">
        <v>88</v>
      </c>
      <c r="Z32" s="14" t="s">
        <v>88</v>
      </c>
      <c r="AA32" s="14" t="s">
        <v>88</v>
      </c>
      <c r="AB32" s="14" t="s">
        <v>88</v>
      </c>
      <c r="AC32" s="14" t="s">
        <v>88</v>
      </c>
      <c r="AD32" s="14" t="s">
        <v>98</v>
      </c>
      <c r="AE32" s="3" t="s">
        <v>108</v>
      </c>
      <c r="AF32" s="14" t="s">
        <v>88</v>
      </c>
    </row>
    <row r="33" customFormat="false" ht="12.75" hidden="false" customHeight="false" outlineLevel="0" collapsed="false">
      <c r="A33" s="3" t="s">
        <v>101</v>
      </c>
      <c r="B33" s="3" t="n">
        <v>32</v>
      </c>
      <c r="C33" s="11" t="n">
        <v>131500</v>
      </c>
      <c r="D33" s="11" t="n">
        <v>509000</v>
      </c>
      <c r="E33" s="11" t="n">
        <v>131497.288</v>
      </c>
      <c r="F33" s="11" t="n">
        <v>509010.674</v>
      </c>
      <c r="G33" s="12" t="n">
        <v>45579</v>
      </c>
      <c r="H33" s="13" t="n">
        <v>2.172</v>
      </c>
      <c r="I33" s="13" t="n">
        <v>0.7</v>
      </c>
      <c r="J33" s="13" t="n">
        <v>1.9</v>
      </c>
      <c r="K33" s="14" t="s">
        <v>88</v>
      </c>
      <c r="L33" s="14" t="s">
        <v>88</v>
      </c>
      <c r="M33" s="14" t="s">
        <v>88</v>
      </c>
      <c r="N33" s="14" t="s">
        <v>88</v>
      </c>
      <c r="O33" s="14" t="s">
        <v>116</v>
      </c>
      <c r="P33" s="14" t="s">
        <v>117</v>
      </c>
      <c r="Q33" s="14" t="s">
        <v>102</v>
      </c>
      <c r="R33" s="14" t="s">
        <v>116</v>
      </c>
      <c r="S33" s="14" t="s">
        <v>102</v>
      </c>
      <c r="T33" s="14" t="s">
        <v>97</v>
      </c>
      <c r="U33" s="14" t="s">
        <v>91</v>
      </c>
      <c r="V33" s="14" t="s">
        <v>97</v>
      </c>
      <c r="W33" s="14" t="s">
        <v>109</v>
      </c>
      <c r="X33" s="14" t="s">
        <v>97</v>
      </c>
      <c r="Y33" s="14" t="s">
        <v>88</v>
      </c>
      <c r="Z33" s="14" t="s">
        <v>90</v>
      </c>
      <c r="AA33" s="14" t="s">
        <v>90</v>
      </c>
      <c r="AB33" s="14" t="s">
        <v>88</v>
      </c>
      <c r="AC33" s="14" t="s">
        <v>90</v>
      </c>
      <c r="AD33" s="14" t="s">
        <v>98</v>
      </c>
      <c r="AE33" s="3" t="s">
        <v>105</v>
      </c>
      <c r="AF33" s="14" t="s">
        <v>88</v>
      </c>
    </row>
    <row r="34" customFormat="false" ht="12.75" hidden="false" customHeight="false" outlineLevel="0" collapsed="false">
      <c r="A34" s="3" t="s">
        <v>101</v>
      </c>
      <c r="B34" s="3" t="n">
        <v>33</v>
      </c>
      <c r="C34" s="11" t="n">
        <v>135000</v>
      </c>
      <c r="D34" s="11" t="n">
        <v>509000</v>
      </c>
      <c r="E34" s="11" t="n">
        <v>134999.405</v>
      </c>
      <c r="F34" s="11" t="n">
        <v>508996.043</v>
      </c>
      <c r="G34" s="12" t="n">
        <v>45579</v>
      </c>
      <c r="H34" s="13" t="n">
        <v>3.282</v>
      </c>
      <c r="I34" s="13" t="n">
        <v>3.1</v>
      </c>
      <c r="J34" s="13" t="n">
        <v>9.9</v>
      </c>
      <c r="K34" s="14" t="s">
        <v>88</v>
      </c>
      <c r="L34" s="14" t="s">
        <v>88</v>
      </c>
      <c r="M34" s="14" t="s">
        <v>88</v>
      </c>
      <c r="N34" s="14" t="s">
        <v>88</v>
      </c>
      <c r="O34" s="14" t="s">
        <v>112</v>
      </c>
      <c r="P34" s="14" t="s">
        <v>112</v>
      </c>
      <c r="Q34" s="14" t="s">
        <v>76</v>
      </c>
      <c r="R34" s="14" t="s">
        <v>113</v>
      </c>
      <c r="S34" s="14" t="s">
        <v>112</v>
      </c>
      <c r="T34" s="14" t="s">
        <v>97</v>
      </c>
      <c r="U34" s="14" t="s">
        <v>97</v>
      </c>
      <c r="V34" s="14" t="s">
        <v>92</v>
      </c>
      <c r="W34" s="14" t="s">
        <v>109</v>
      </c>
      <c r="X34" s="14" t="s">
        <v>109</v>
      </c>
      <c r="Y34" s="14" t="s">
        <v>90</v>
      </c>
      <c r="Z34" s="14" t="s">
        <v>90</v>
      </c>
      <c r="AA34" s="14" t="s">
        <v>90</v>
      </c>
      <c r="AB34" s="14" t="s">
        <v>90</v>
      </c>
      <c r="AC34" s="14" t="s">
        <v>90</v>
      </c>
      <c r="AD34" s="14" t="s">
        <v>94</v>
      </c>
      <c r="AE34" s="3" t="s">
        <v>105</v>
      </c>
      <c r="AF34" s="14" t="s">
        <v>88</v>
      </c>
    </row>
    <row r="35" customFormat="false" ht="12.75" hidden="false" customHeight="false" outlineLevel="0" collapsed="false">
      <c r="A35" s="3" t="s">
        <v>114</v>
      </c>
      <c r="B35" s="3" t="n">
        <v>34</v>
      </c>
      <c r="C35" s="11" t="n">
        <v>139000</v>
      </c>
      <c r="D35" s="11" t="n">
        <v>509000</v>
      </c>
      <c r="E35" s="11" t="n">
        <v>139002.147</v>
      </c>
      <c r="F35" s="11" t="n">
        <v>508999.058</v>
      </c>
      <c r="G35" s="12" t="n">
        <v>45579</v>
      </c>
      <c r="H35" s="13" t="n">
        <v>3.704</v>
      </c>
      <c r="I35" s="13" t="n">
        <v>1.2</v>
      </c>
      <c r="J35" s="13" t="n">
        <v>4</v>
      </c>
      <c r="K35" s="14" t="s">
        <v>88</v>
      </c>
      <c r="L35" s="14" t="s">
        <v>88</v>
      </c>
      <c r="M35" s="14" t="s">
        <v>88</v>
      </c>
      <c r="N35" s="14" t="s">
        <v>88</v>
      </c>
      <c r="O35" s="14" t="s">
        <v>102</v>
      </c>
      <c r="P35" s="14" t="s">
        <v>102</v>
      </c>
      <c r="Q35" s="14" t="s">
        <v>102</v>
      </c>
      <c r="R35" s="14" t="s">
        <v>102</v>
      </c>
      <c r="S35" s="14" t="s">
        <v>102</v>
      </c>
      <c r="T35" s="14" t="s">
        <v>109</v>
      </c>
      <c r="U35" s="14" t="s">
        <v>104</v>
      </c>
      <c r="V35" s="14" t="s">
        <v>104</v>
      </c>
      <c r="W35" s="14" t="s">
        <v>104</v>
      </c>
      <c r="X35" s="14" t="s">
        <v>104</v>
      </c>
      <c r="Y35" s="14" t="s">
        <v>90</v>
      </c>
      <c r="Z35" s="14" t="s">
        <v>90</v>
      </c>
      <c r="AA35" s="14" t="s">
        <v>90</v>
      </c>
      <c r="AB35" s="14" t="s">
        <v>90</v>
      </c>
      <c r="AC35" s="14" t="s">
        <v>88</v>
      </c>
      <c r="AD35" s="14" t="s">
        <v>98</v>
      </c>
      <c r="AE35" s="3" t="s">
        <v>105</v>
      </c>
      <c r="AF35" s="14" t="s">
        <v>88</v>
      </c>
    </row>
    <row r="36" customFormat="false" ht="12.75" hidden="false" customHeight="false" outlineLevel="0" collapsed="false">
      <c r="A36" s="3" t="s">
        <v>114</v>
      </c>
      <c r="B36" s="3" t="n">
        <v>35</v>
      </c>
      <c r="C36" s="11" t="n">
        <v>143000</v>
      </c>
      <c r="D36" s="11" t="n">
        <v>509000</v>
      </c>
      <c r="E36" s="11" t="n">
        <v>142991.202</v>
      </c>
      <c r="F36" s="11" t="n">
        <v>508989.905</v>
      </c>
      <c r="G36" s="12" t="n">
        <v>45580</v>
      </c>
      <c r="H36" s="13" t="n">
        <v>3.888</v>
      </c>
      <c r="I36" s="13" t="n">
        <v>0.1</v>
      </c>
      <c r="J36" s="13" t="n">
        <v>4</v>
      </c>
      <c r="K36" s="14" t="s">
        <v>88</v>
      </c>
      <c r="L36" s="14" t="s">
        <v>88</v>
      </c>
      <c r="M36" s="14" t="s">
        <v>88</v>
      </c>
      <c r="N36" s="14" t="s">
        <v>88</v>
      </c>
      <c r="O36" s="14" t="s">
        <v>116</v>
      </c>
      <c r="P36" s="14" t="s">
        <v>102</v>
      </c>
      <c r="Q36" s="14" t="s">
        <v>103</v>
      </c>
      <c r="R36" s="14" t="s">
        <v>90</v>
      </c>
      <c r="S36" s="14" t="s">
        <v>102</v>
      </c>
      <c r="T36" s="14" t="s">
        <v>109</v>
      </c>
      <c r="U36" s="14" t="s">
        <v>109</v>
      </c>
      <c r="V36" s="14" t="s">
        <v>97</v>
      </c>
      <c r="W36" s="14" t="s">
        <v>91</v>
      </c>
      <c r="X36" s="14" t="s">
        <v>109</v>
      </c>
      <c r="Y36" s="14" t="s">
        <v>88</v>
      </c>
      <c r="Z36" s="14" t="s">
        <v>88</v>
      </c>
      <c r="AA36" s="14" t="s">
        <v>90</v>
      </c>
      <c r="AB36" s="14" t="s">
        <v>99</v>
      </c>
      <c r="AC36" s="14" t="s">
        <v>88</v>
      </c>
      <c r="AD36" s="14" t="s">
        <v>98</v>
      </c>
      <c r="AE36" s="3" t="s">
        <v>95</v>
      </c>
      <c r="AF36" s="14" t="s">
        <v>88</v>
      </c>
    </row>
    <row r="37" customFormat="false" ht="12.75" hidden="false" customHeight="false" outlineLevel="0" collapsed="false">
      <c r="A37" s="3" t="s">
        <v>114</v>
      </c>
      <c r="B37" s="3" t="n">
        <v>36</v>
      </c>
      <c r="C37" s="11" t="n">
        <v>147000</v>
      </c>
      <c r="D37" s="11" t="n">
        <v>509000</v>
      </c>
      <c r="E37" s="11" t="n">
        <v>146998.127</v>
      </c>
      <c r="F37" s="11" t="n">
        <v>509005.998</v>
      </c>
      <c r="G37" s="12" t="n">
        <v>45582</v>
      </c>
      <c r="H37" s="13" t="n">
        <v>3.856</v>
      </c>
      <c r="I37" s="13" t="n">
        <v>1.2</v>
      </c>
      <c r="J37" s="13" t="n">
        <v>2</v>
      </c>
      <c r="K37" s="14" t="s">
        <v>88</v>
      </c>
      <c r="L37" s="14" t="s">
        <v>88</v>
      </c>
      <c r="M37" s="14" t="s">
        <v>88</v>
      </c>
      <c r="N37" s="14" t="s">
        <v>88</v>
      </c>
      <c r="O37" s="14" t="s">
        <v>90</v>
      </c>
      <c r="P37" s="14" t="s">
        <v>90</v>
      </c>
      <c r="Q37" s="14" t="s">
        <v>89</v>
      </c>
      <c r="R37" s="14" t="s">
        <v>89</v>
      </c>
      <c r="S37" s="14" t="s">
        <v>89</v>
      </c>
      <c r="T37" s="14" t="s">
        <v>107</v>
      </c>
      <c r="U37" s="14" t="s">
        <v>107</v>
      </c>
      <c r="V37" s="14" t="s">
        <v>107</v>
      </c>
      <c r="W37" s="14" t="s">
        <v>92</v>
      </c>
      <c r="X37" s="14" t="s">
        <v>92</v>
      </c>
      <c r="Y37" s="14" t="s">
        <v>90</v>
      </c>
      <c r="Z37" s="14" t="s">
        <v>99</v>
      </c>
      <c r="AA37" s="14" t="s">
        <v>93</v>
      </c>
      <c r="AB37" s="14" t="s">
        <v>99</v>
      </c>
      <c r="AC37" s="14" t="s">
        <v>90</v>
      </c>
      <c r="AD37" s="14" t="s">
        <v>98</v>
      </c>
      <c r="AE37" s="3" t="s">
        <v>108</v>
      </c>
      <c r="AF37" s="14" t="s">
        <v>88</v>
      </c>
    </row>
    <row r="38" customFormat="false" ht="12.75" hidden="false" customHeight="false" outlineLevel="0" collapsed="false">
      <c r="A38" s="3" t="s">
        <v>114</v>
      </c>
      <c r="B38" s="3" t="n">
        <v>37</v>
      </c>
      <c r="C38" s="11" t="n">
        <v>151000</v>
      </c>
      <c r="D38" s="11" t="n">
        <v>509000</v>
      </c>
      <c r="E38" s="11" t="n">
        <v>150997.935</v>
      </c>
      <c r="F38" s="11" t="n">
        <v>508989.319</v>
      </c>
      <c r="G38" s="12" t="n">
        <v>45582</v>
      </c>
      <c r="H38" s="13" t="n">
        <v>4.278</v>
      </c>
      <c r="I38" s="13" t="n">
        <v>0.1</v>
      </c>
      <c r="J38" s="13" t="n">
        <v>0.4</v>
      </c>
      <c r="K38" s="14" t="s">
        <v>88</v>
      </c>
      <c r="L38" s="14" t="s">
        <v>88</v>
      </c>
      <c r="M38" s="14" t="s">
        <v>88</v>
      </c>
      <c r="N38" s="14" t="s">
        <v>88</v>
      </c>
      <c r="O38" s="14" t="s">
        <v>89</v>
      </c>
      <c r="P38" s="14" t="s">
        <v>103</v>
      </c>
      <c r="Q38" s="14" t="s">
        <v>89</v>
      </c>
      <c r="R38" s="14" t="s">
        <v>103</v>
      </c>
      <c r="S38" s="14" t="s">
        <v>89</v>
      </c>
      <c r="T38" s="14" t="s">
        <v>106</v>
      </c>
      <c r="U38" s="14" t="s">
        <v>91</v>
      </c>
      <c r="V38" s="14" t="s">
        <v>106</v>
      </c>
      <c r="W38" s="14" t="s">
        <v>91</v>
      </c>
      <c r="X38" s="14" t="s">
        <v>91</v>
      </c>
      <c r="Y38" s="14" t="s">
        <v>99</v>
      </c>
      <c r="Z38" s="14" t="s">
        <v>88</v>
      </c>
      <c r="AA38" s="14" t="s">
        <v>88</v>
      </c>
      <c r="AB38" s="14" t="s">
        <v>90</v>
      </c>
      <c r="AC38" s="14" t="s">
        <v>88</v>
      </c>
      <c r="AD38" s="14" t="s">
        <v>98</v>
      </c>
      <c r="AE38" s="3" t="s">
        <v>108</v>
      </c>
      <c r="AF38" s="14" t="s">
        <v>88</v>
      </c>
    </row>
    <row r="39" customFormat="false" ht="12.75" hidden="false" customHeight="false" outlineLevel="0" collapsed="false">
      <c r="A39" s="3" t="s">
        <v>114</v>
      </c>
      <c r="B39" s="3" t="n">
        <v>39</v>
      </c>
      <c r="C39" s="11" t="n">
        <v>159000</v>
      </c>
      <c r="D39" s="11" t="n">
        <v>509000</v>
      </c>
      <c r="E39" s="11" t="n">
        <v>159002.61</v>
      </c>
      <c r="F39" s="11" t="n">
        <v>508990.005</v>
      </c>
      <c r="G39" s="12" t="n">
        <v>45582</v>
      </c>
      <c r="H39" s="13" t="n">
        <v>4.676</v>
      </c>
      <c r="I39" s="13" t="n">
        <v>1.4</v>
      </c>
      <c r="J39" s="13" t="n">
        <v>0.6</v>
      </c>
      <c r="K39" s="14" t="s">
        <v>88</v>
      </c>
      <c r="L39" s="14" t="s">
        <v>88</v>
      </c>
      <c r="M39" s="14" t="s">
        <v>88</v>
      </c>
      <c r="N39" s="14" t="s">
        <v>88</v>
      </c>
      <c r="O39" s="14" t="s">
        <v>103</v>
      </c>
      <c r="P39" s="14" t="s">
        <v>103</v>
      </c>
      <c r="Q39" s="14" t="s">
        <v>96</v>
      </c>
      <c r="R39" s="14" t="s">
        <v>89</v>
      </c>
      <c r="S39" s="14" t="s">
        <v>96</v>
      </c>
      <c r="T39" s="14" t="s">
        <v>91</v>
      </c>
      <c r="U39" s="14" t="s">
        <v>91</v>
      </c>
      <c r="V39" s="14" t="s">
        <v>97</v>
      </c>
      <c r="W39" s="14" t="s">
        <v>91</v>
      </c>
      <c r="X39" s="14" t="s">
        <v>97</v>
      </c>
      <c r="Y39" s="14" t="s">
        <v>93</v>
      </c>
      <c r="Z39" s="14" t="s">
        <v>88</v>
      </c>
      <c r="AA39" s="14" t="s">
        <v>88</v>
      </c>
      <c r="AB39" s="14" t="s">
        <v>88</v>
      </c>
      <c r="AC39" s="14" t="s">
        <v>90</v>
      </c>
      <c r="AD39" s="14" t="s">
        <v>98</v>
      </c>
      <c r="AE39" s="3" t="s">
        <v>108</v>
      </c>
      <c r="AF39" s="14" t="s">
        <v>88</v>
      </c>
    </row>
    <row r="40" customFormat="false" ht="12.75" hidden="false" customHeight="false" outlineLevel="0" collapsed="false">
      <c r="A40" s="3" t="s">
        <v>101</v>
      </c>
      <c r="B40" s="3" t="n">
        <v>40</v>
      </c>
      <c r="C40" s="11" t="n">
        <v>133000</v>
      </c>
      <c r="D40" s="11" t="n">
        <v>507000</v>
      </c>
      <c r="E40" s="11" t="n">
        <v>133001.951</v>
      </c>
      <c r="F40" s="11" t="n">
        <v>506988.696</v>
      </c>
      <c r="G40" s="12" t="n">
        <v>45579</v>
      </c>
      <c r="H40" s="13" t="n">
        <v>2.538</v>
      </c>
      <c r="I40" s="13" t="n">
        <v>3.4</v>
      </c>
      <c r="J40" s="13" t="n">
        <v>8.6</v>
      </c>
      <c r="K40" s="14" t="s">
        <v>88</v>
      </c>
      <c r="L40" s="14" t="s">
        <v>88</v>
      </c>
      <c r="M40" s="14" t="s">
        <v>88</v>
      </c>
      <c r="N40" s="14" t="s">
        <v>88</v>
      </c>
      <c r="O40" s="14" t="s">
        <v>118</v>
      </c>
      <c r="P40" s="14" t="s">
        <v>116</v>
      </c>
      <c r="Q40" s="14" t="s">
        <v>102</v>
      </c>
      <c r="R40" s="14" t="s">
        <v>116</v>
      </c>
      <c r="S40" s="14" t="s">
        <v>102</v>
      </c>
      <c r="T40" s="14" t="s">
        <v>91</v>
      </c>
      <c r="U40" s="14" t="s">
        <v>97</v>
      </c>
      <c r="V40" s="14" t="s">
        <v>97</v>
      </c>
      <c r="W40" s="14" t="s">
        <v>91</v>
      </c>
      <c r="X40" s="14" t="s">
        <v>109</v>
      </c>
      <c r="Y40" s="14" t="s">
        <v>90</v>
      </c>
      <c r="Z40" s="14" t="s">
        <v>90</v>
      </c>
      <c r="AA40" s="14" t="s">
        <v>90</v>
      </c>
      <c r="AB40" s="14" t="s">
        <v>90</v>
      </c>
      <c r="AC40" s="14" t="s">
        <v>90</v>
      </c>
      <c r="AD40" s="14" t="s">
        <v>98</v>
      </c>
      <c r="AE40" s="3" t="s">
        <v>105</v>
      </c>
      <c r="AF40" s="14" t="s">
        <v>88</v>
      </c>
    </row>
    <row r="41" customFormat="false" ht="12.75" hidden="false" customHeight="false" outlineLevel="0" collapsed="false">
      <c r="A41" s="3" t="s">
        <v>114</v>
      </c>
      <c r="B41" s="3" t="n">
        <v>41</v>
      </c>
      <c r="C41" s="11" t="n">
        <v>137000</v>
      </c>
      <c r="D41" s="11" t="n">
        <v>507000</v>
      </c>
      <c r="E41" s="11" t="n">
        <v>137006.036</v>
      </c>
      <c r="F41" s="11" t="n">
        <v>506999.542</v>
      </c>
      <c r="G41" s="12" t="n">
        <v>45581</v>
      </c>
      <c r="H41" s="13" t="n">
        <v>3.56</v>
      </c>
      <c r="I41" s="13" t="n">
        <v>2.8</v>
      </c>
      <c r="J41" s="13" t="n">
        <v>8.7</v>
      </c>
      <c r="K41" s="14" t="s">
        <v>88</v>
      </c>
      <c r="L41" s="14" t="s">
        <v>88</v>
      </c>
      <c r="M41" s="14" t="s">
        <v>88</v>
      </c>
      <c r="N41" s="14" t="s">
        <v>88</v>
      </c>
      <c r="O41" s="14" t="s">
        <v>102</v>
      </c>
      <c r="P41" s="14" t="s">
        <v>102</v>
      </c>
      <c r="Q41" s="14" t="s">
        <v>112</v>
      </c>
      <c r="R41" s="14" t="s">
        <v>102</v>
      </c>
      <c r="S41" s="14" t="s">
        <v>102</v>
      </c>
      <c r="T41" s="14" t="s">
        <v>104</v>
      </c>
      <c r="U41" s="14" t="s">
        <v>104</v>
      </c>
      <c r="V41" s="14" t="s">
        <v>109</v>
      </c>
      <c r="W41" s="14" t="s">
        <v>109</v>
      </c>
      <c r="X41" s="14" t="s">
        <v>109</v>
      </c>
      <c r="Y41" s="14" t="s">
        <v>90</v>
      </c>
      <c r="Z41" s="14" t="s">
        <v>90</v>
      </c>
      <c r="AA41" s="14" t="s">
        <v>90</v>
      </c>
      <c r="AB41" s="14" t="s">
        <v>90</v>
      </c>
      <c r="AC41" s="14" t="s">
        <v>90</v>
      </c>
      <c r="AD41" s="14" t="s">
        <v>94</v>
      </c>
      <c r="AE41" s="3" t="s">
        <v>119</v>
      </c>
      <c r="AF41" s="14" t="s">
        <v>88</v>
      </c>
    </row>
    <row r="42" customFormat="false" ht="12.75" hidden="false" customHeight="false" outlineLevel="0" collapsed="false">
      <c r="A42" s="3" t="s">
        <v>114</v>
      </c>
      <c r="B42" s="3" t="n">
        <v>42</v>
      </c>
      <c r="C42" s="11" t="n">
        <v>141000</v>
      </c>
      <c r="D42" s="11" t="n">
        <v>507000</v>
      </c>
      <c r="E42" s="11" t="n">
        <v>140999.709</v>
      </c>
      <c r="F42" s="11" t="n">
        <v>506990.318</v>
      </c>
      <c r="G42" s="12" t="n">
        <v>45579</v>
      </c>
      <c r="H42" s="13" t="n">
        <v>3.94</v>
      </c>
      <c r="I42" s="13" t="n">
        <v>2.8</v>
      </c>
      <c r="J42" s="13" t="n">
        <v>20</v>
      </c>
      <c r="K42" s="14" t="s">
        <v>88</v>
      </c>
      <c r="L42" s="14" t="s">
        <v>88</v>
      </c>
      <c r="M42" s="14" t="s">
        <v>88</v>
      </c>
      <c r="N42" s="14" t="s">
        <v>88</v>
      </c>
      <c r="O42" s="14" t="s">
        <v>102</v>
      </c>
      <c r="P42" s="14" t="s">
        <v>110</v>
      </c>
      <c r="Q42" s="14" t="s">
        <v>110</v>
      </c>
      <c r="R42" s="14" t="s">
        <v>110</v>
      </c>
      <c r="S42" s="14" t="s">
        <v>110</v>
      </c>
      <c r="T42" s="14" t="s">
        <v>104</v>
      </c>
      <c r="U42" s="14" t="s">
        <v>91</v>
      </c>
      <c r="V42" s="14" t="s">
        <v>91</v>
      </c>
      <c r="W42" s="14" t="s">
        <v>91</v>
      </c>
      <c r="X42" s="14" t="s">
        <v>91</v>
      </c>
      <c r="Y42" s="14" t="s">
        <v>88</v>
      </c>
      <c r="Z42" s="14" t="s">
        <v>90</v>
      </c>
      <c r="AA42" s="14" t="s">
        <v>90</v>
      </c>
      <c r="AB42" s="14" t="s">
        <v>93</v>
      </c>
      <c r="AC42" s="14" t="s">
        <v>90</v>
      </c>
      <c r="AD42" s="14" t="s">
        <v>98</v>
      </c>
      <c r="AE42" s="3" t="s">
        <v>105</v>
      </c>
      <c r="AF42" s="14" t="s">
        <v>88</v>
      </c>
    </row>
    <row r="43" customFormat="false" ht="12.75" hidden="false" customHeight="false" outlineLevel="0" collapsed="false">
      <c r="A43" s="3" t="s">
        <v>114</v>
      </c>
      <c r="B43" s="3" t="n">
        <v>43</v>
      </c>
      <c r="C43" s="11" t="n">
        <v>145000</v>
      </c>
      <c r="D43" s="11" t="n">
        <v>507000</v>
      </c>
      <c r="E43" s="11" t="n">
        <v>144992.548</v>
      </c>
      <c r="F43" s="11" t="n">
        <v>507007.488</v>
      </c>
      <c r="G43" s="12" t="n">
        <v>45581</v>
      </c>
      <c r="H43" s="13" t="n">
        <v>3.91</v>
      </c>
      <c r="I43" s="13" t="n">
        <v>1.2</v>
      </c>
      <c r="J43" s="13" t="n">
        <v>4</v>
      </c>
      <c r="K43" s="14" t="s">
        <v>88</v>
      </c>
      <c r="L43" s="14" t="s">
        <v>88</v>
      </c>
      <c r="M43" s="14" t="s">
        <v>88</v>
      </c>
      <c r="N43" s="14" t="s">
        <v>88</v>
      </c>
      <c r="O43" s="14" t="s">
        <v>90</v>
      </c>
      <c r="P43" s="14" t="s">
        <v>90</v>
      </c>
      <c r="Q43" s="14" t="s">
        <v>89</v>
      </c>
      <c r="R43" s="14" t="s">
        <v>90</v>
      </c>
      <c r="S43" s="14" t="s">
        <v>89</v>
      </c>
      <c r="T43" s="14" t="s">
        <v>106</v>
      </c>
      <c r="U43" s="14" t="s">
        <v>106</v>
      </c>
      <c r="V43" s="14" t="s">
        <v>106</v>
      </c>
      <c r="W43" s="14" t="s">
        <v>106</v>
      </c>
      <c r="X43" s="14" t="s">
        <v>106</v>
      </c>
      <c r="Y43" s="14" t="s">
        <v>93</v>
      </c>
      <c r="Z43" s="14" t="s">
        <v>90</v>
      </c>
      <c r="AA43" s="14" t="s">
        <v>90</v>
      </c>
      <c r="AB43" s="14" t="s">
        <v>93</v>
      </c>
      <c r="AC43" s="14" t="s">
        <v>90</v>
      </c>
      <c r="AD43" s="14" t="s">
        <v>98</v>
      </c>
      <c r="AE43" s="3" t="s">
        <v>119</v>
      </c>
      <c r="AF43" s="14" t="s">
        <v>88</v>
      </c>
    </row>
    <row r="44" customFormat="false" ht="12.75" hidden="false" customHeight="false" outlineLevel="0" collapsed="false">
      <c r="A44" s="3" t="s">
        <v>114</v>
      </c>
      <c r="B44" s="3" t="n">
        <v>44</v>
      </c>
      <c r="C44" s="11" t="n">
        <v>149000</v>
      </c>
      <c r="D44" s="11" t="n">
        <v>507000</v>
      </c>
      <c r="E44" s="11" t="n">
        <v>148999.697</v>
      </c>
      <c r="F44" s="11" t="n">
        <v>507003.967</v>
      </c>
      <c r="G44" s="12" t="n">
        <v>45582</v>
      </c>
      <c r="H44" s="13" t="n">
        <v>4.352</v>
      </c>
      <c r="I44" s="15" t="n">
        <v>0.01</v>
      </c>
      <c r="J44" s="15" t="n">
        <v>0.01</v>
      </c>
      <c r="K44" s="14" t="s">
        <v>88</v>
      </c>
      <c r="L44" s="14" t="s">
        <v>88</v>
      </c>
      <c r="M44" s="14" t="s">
        <v>88</v>
      </c>
      <c r="N44" s="14" t="s">
        <v>88</v>
      </c>
      <c r="O44" s="14" t="s">
        <v>103</v>
      </c>
      <c r="P44" s="14" t="s">
        <v>103</v>
      </c>
      <c r="Q44" s="14" t="s">
        <v>103</v>
      </c>
      <c r="R44" s="14" t="s">
        <v>103</v>
      </c>
      <c r="S44" s="14" t="s">
        <v>103</v>
      </c>
      <c r="T44" s="14" t="s">
        <v>91</v>
      </c>
      <c r="U44" s="14" t="s">
        <v>91</v>
      </c>
      <c r="V44" s="14" t="s">
        <v>91</v>
      </c>
      <c r="W44" s="14" t="s">
        <v>91</v>
      </c>
      <c r="X44" s="14" t="s">
        <v>91</v>
      </c>
      <c r="Y44" s="14" t="s">
        <v>88</v>
      </c>
      <c r="Z44" s="14" t="s">
        <v>88</v>
      </c>
      <c r="AA44" s="14" t="s">
        <v>88</v>
      </c>
      <c r="AB44" s="14" t="s">
        <v>88</v>
      </c>
      <c r="AC44" s="14" t="s">
        <v>90</v>
      </c>
      <c r="AD44" s="14" t="s">
        <v>98</v>
      </c>
      <c r="AE44" s="3" t="s">
        <v>108</v>
      </c>
      <c r="AF44" s="14" t="s">
        <v>88</v>
      </c>
    </row>
    <row r="45" customFormat="false" ht="12.75" hidden="false" customHeight="false" outlineLevel="0" collapsed="false">
      <c r="A45" s="3" t="s">
        <v>114</v>
      </c>
      <c r="B45" s="3" t="n">
        <v>45</v>
      </c>
      <c r="C45" s="11" t="n">
        <v>153000</v>
      </c>
      <c r="D45" s="11" t="n">
        <v>507000</v>
      </c>
      <c r="E45" s="11" t="n">
        <v>153023.19</v>
      </c>
      <c r="F45" s="11" t="n">
        <v>507001.931</v>
      </c>
      <c r="G45" s="12" t="n">
        <v>45582</v>
      </c>
      <c r="H45" s="13" t="n">
        <v>4.274</v>
      </c>
      <c r="I45" s="13" t="n">
        <v>1.4</v>
      </c>
      <c r="J45" s="13" t="n">
        <v>2.9</v>
      </c>
      <c r="K45" s="14" t="s">
        <v>88</v>
      </c>
      <c r="L45" s="14" t="s">
        <v>88</v>
      </c>
      <c r="M45" s="14" t="s">
        <v>88</v>
      </c>
      <c r="N45" s="14" t="s">
        <v>88</v>
      </c>
      <c r="O45" s="14" t="s">
        <v>89</v>
      </c>
      <c r="P45" s="14" t="s">
        <v>89</v>
      </c>
      <c r="Q45" s="14" t="s">
        <v>89</v>
      </c>
      <c r="R45" s="14" t="s">
        <v>89</v>
      </c>
      <c r="S45" s="14" t="s">
        <v>103</v>
      </c>
      <c r="T45" s="14" t="s">
        <v>92</v>
      </c>
      <c r="U45" s="14" t="s">
        <v>92</v>
      </c>
      <c r="V45" s="14" t="s">
        <v>92</v>
      </c>
      <c r="W45" s="14" t="s">
        <v>92</v>
      </c>
      <c r="X45" s="14" t="s">
        <v>91</v>
      </c>
      <c r="Y45" s="14" t="s">
        <v>88</v>
      </c>
      <c r="Z45" s="14" t="s">
        <v>88</v>
      </c>
      <c r="AA45" s="14" t="s">
        <v>88</v>
      </c>
      <c r="AB45" s="14" t="s">
        <v>88</v>
      </c>
      <c r="AC45" s="14" t="s">
        <v>93</v>
      </c>
      <c r="AD45" s="14" t="s">
        <v>98</v>
      </c>
      <c r="AE45" s="3" t="s">
        <v>108</v>
      </c>
      <c r="AF45" s="14" t="s">
        <v>88</v>
      </c>
    </row>
    <row r="46" customFormat="false" ht="12.75" hidden="false" customHeight="false" outlineLevel="0" collapsed="false">
      <c r="A46" s="3" t="s">
        <v>114</v>
      </c>
      <c r="B46" s="3" t="n">
        <v>46</v>
      </c>
      <c r="C46" s="11" t="n">
        <v>157000</v>
      </c>
      <c r="D46" s="11" t="n">
        <v>507000</v>
      </c>
      <c r="E46" s="11" t="n">
        <v>157004.494</v>
      </c>
      <c r="F46" s="11" t="n">
        <v>507004.399</v>
      </c>
      <c r="G46" s="12" t="n">
        <v>45582</v>
      </c>
      <c r="H46" s="13" t="n">
        <v>4.614</v>
      </c>
      <c r="I46" s="11" t="n">
        <v>0</v>
      </c>
      <c r="J46" s="11" t="n">
        <v>0</v>
      </c>
      <c r="K46" s="14" t="s">
        <v>88</v>
      </c>
      <c r="L46" s="14" t="s">
        <v>88</v>
      </c>
      <c r="M46" s="14" t="s">
        <v>88</v>
      </c>
      <c r="N46" s="14" t="s">
        <v>88</v>
      </c>
      <c r="O46" s="14" t="s">
        <v>89</v>
      </c>
      <c r="P46" s="14" t="s">
        <v>103</v>
      </c>
      <c r="Q46" s="14" t="s">
        <v>89</v>
      </c>
      <c r="R46" s="14" t="s">
        <v>89</v>
      </c>
      <c r="S46" s="14" t="s">
        <v>103</v>
      </c>
      <c r="T46" s="14" t="s">
        <v>92</v>
      </c>
      <c r="U46" s="14" t="s">
        <v>97</v>
      </c>
      <c r="V46" s="14" t="s">
        <v>92</v>
      </c>
      <c r="W46" s="14" t="s">
        <v>91</v>
      </c>
      <c r="X46" s="14" t="s">
        <v>91</v>
      </c>
      <c r="Y46" s="14" t="s">
        <v>88</v>
      </c>
      <c r="Z46" s="14" t="s">
        <v>88</v>
      </c>
      <c r="AA46" s="14" t="s">
        <v>88</v>
      </c>
      <c r="AB46" s="14" t="s">
        <v>88</v>
      </c>
      <c r="AC46" s="14" t="s">
        <v>88</v>
      </c>
      <c r="AD46" s="14" t="s">
        <v>98</v>
      </c>
      <c r="AE46" s="3" t="s">
        <v>108</v>
      </c>
      <c r="AF46" s="14" t="s">
        <v>88</v>
      </c>
    </row>
    <row r="47" customFormat="false" ht="12.75" hidden="false" customHeight="false" outlineLevel="0" collapsed="false">
      <c r="A47" s="3" t="s">
        <v>114</v>
      </c>
      <c r="B47" s="3" t="n">
        <v>47</v>
      </c>
      <c r="C47" s="11" t="n">
        <v>135000</v>
      </c>
      <c r="D47" s="11" t="n">
        <v>505000</v>
      </c>
      <c r="E47" s="11" t="n">
        <v>134995.959</v>
      </c>
      <c r="F47" s="11" t="n">
        <v>505002.676</v>
      </c>
      <c r="G47" s="12" t="n">
        <v>45581</v>
      </c>
      <c r="H47" s="13" t="n">
        <v>2.852</v>
      </c>
      <c r="I47" s="13" t="n">
        <v>4.9</v>
      </c>
      <c r="J47" s="13" t="n">
        <v>9.6</v>
      </c>
      <c r="K47" s="14" t="s">
        <v>88</v>
      </c>
      <c r="L47" s="14" t="s">
        <v>88</v>
      </c>
      <c r="M47" s="14" t="s">
        <v>88</v>
      </c>
      <c r="N47" s="14" t="s">
        <v>88</v>
      </c>
      <c r="O47" s="14" t="s">
        <v>102</v>
      </c>
      <c r="P47" s="14" t="s">
        <v>120</v>
      </c>
      <c r="Q47" s="14" t="s">
        <v>112</v>
      </c>
      <c r="R47" s="14" t="s">
        <v>103</v>
      </c>
      <c r="S47" s="14" t="s">
        <v>102</v>
      </c>
      <c r="T47" s="14" t="s">
        <v>109</v>
      </c>
      <c r="U47" s="14" t="s">
        <v>91</v>
      </c>
      <c r="V47" s="14" t="s">
        <v>104</v>
      </c>
      <c r="W47" s="14" t="s">
        <v>91</v>
      </c>
      <c r="X47" s="14" t="s">
        <v>109</v>
      </c>
      <c r="Y47" s="14" t="s">
        <v>93</v>
      </c>
      <c r="Z47" s="14" t="s">
        <v>90</v>
      </c>
      <c r="AA47" s="14" t="s">
        <v>93</v>
      </c>
      <c r="AB47" s="14" t="s">
        <v>90</v>
      </c>
      <c r="AC47" s="14" t="s">
        <v>90</v>
      </c>
      <c r="AD47" s="14" t="s">
        <v>94</v>
      </c>
      <c r="AE47" s="3" t="s">
        <v>119</v>
      </c>
      <c r="AF47" s="14" t="s">
        <v>88</v>
      </c>
    </row>
    <row r="48" customFormat="false" ht="12.75" hidden="false" customHeight="false" outlineLevel="0" collapsed="false">
      <c r="A48" s="3" t="s">
        <v>114</v>
      </c>
      <c r="B48" s="3" t="n">
        <v>48</v>
      </c>
      <c r="C48" s="11" t="n">
        <v>139000</v>
      </c>
      <c r="D48" s="11" t="n">
        <v>505000</v>
      </c>
      <c r="E48" s="11" t="n">
        <v>139013.727</v>
      </c>
      <c r="F48" s="11" t="n">
        <v>504993.859</v>
      </c>
      <c r="G48" s="12" t="n">
        <v>45581</v>
      </c>
      <c r="H48" s="13" t="n">
        <v>3.666</v>
      </c>
      <c r="I48" s="13" t="n">
        <v>1.5</v>
      </c>
      <c r="J48" s="13" t="n">
        <v>8.7</v>
      </c>
      <c r="K48" s="14" t="s">
        <v>88</v>
      </c>
      <c r="L48" s="14" t="s">
        <v>88</v>
      </c>
      <c r="M48" s="14" t="s">
        <v>88</v>
      </c>
      <c r="N48" s="14" t="s">
        <v>88</v>
      </c>
      <c r="O48" s="14" t="s">
        <v>112</v>
      </c>
      <c r="P48" s="14" t="s">
        <v>102</v>
      </c>
      <c r="Q48" s="14" t="s">
        <v>112</v>
      </c>
      <c r="R48" s="14" t="s">
        <v>102</v>
      </c>
      <c r="S48" s="14" t="s">
        <v>112</v>
      </c>
      <c r="T48" s="14" t="s">
        <v>104</v>
      </c>
      <c r="U48" s="14" t="s">
        <v>104</v>
      </c>
      <c r="V48" s="14" t="s">
        <v>104</v>
      </c>
      <c r="W48" s="14" t="s">
        <v>104</v>
      </c>
      <c r="X48" s="14" t="s">
        <v>104</v>
      </c>
      <c r="Y48" s="14" t="s">
        <v>93</v>
      </c>
      <c r="Z48" s="14" t="s">
        <v>90</v>
      </c>
      <c r="AA48" s="14" t="s">
        <v>88</v>
      </c>
      <c r="AB48" s="14" t="s">
        <v>90</v>
      </c>
      <c r="AC48" s="14" t="s">
        <v>90</v>
      </c>
      <c r="AD48" s="14" t="s">
        <v>94</v>
      </c>
      <c r="AE48" s="3" t="s">
        <v>119</v>
      </c>
      <c r="AF48" s="14" t="s">
        <v>88</v>
      </c>
    </row>
    <row r="49" customFormat="false" ht="12.75" hidden="false" customHeight="false" outlineLevel="0" collapsed="false">
      <c r="A49" s="3" t="s">
        <v>114</v>
      </c>
      <c r="B49" s="3" t="n">
        <v>49</v>
      </c>
      <c r="C49" s="11" t="n">
        <v>143000</v>
      </c>
      <c r="D49" s="11" t="n">
        <v>505000</v>
      </c>
      <c r="E49" s="11" t="n">
        <v>142998.34</v>
      </c>
      <c r="F49" s="11" t="n">
        <v>504999.649</v>
      </c>
      <c r="G49" s="12" t="n">
        <v>45579</v>
      </c>
      <c r="H49" s="13" t="n">
        <v>4.084</v>
      </c>
      <c r="I49" s="13" t="n">
        <v>5.7</v>
      </c>
      <c r="J49" s="13" t="n">
        <v>44</v>
      </c>
      <c r="K49" s="14" t="s">
        <v>88</v>
      </c>
      <c r="L49" s="14" t="s">
        <v>88</v>
      </c>
      <c r="M49" s="14" t="s">
        <v>88</v>
      </c>
      <c r="N49" s="14" t="s">
        <v>88</v>
      </c>
      <c r="O49" s="14" t="s">
        <v>110</v>
      </c>
      <c r="P49" s="14" t="s">
        <v>102</v>
      </c>
      <c r="Q49" s="14" t="s">
        <v>102</v>
      </c>
      <c r="R49" s="14" t="s">
        <v>110</v>
      </c>
      <c r="S49" s="14" t="s">
        <v>110</v>
      </c>
      <c r="T49" s="14" t="s">
        <v>91</v>
      </c>
      <c r="U49" s="14" t="s">
        <v>97</v>
      </c>
      <c r="V49" s="14" t="s">
        <v>97</v>
      </c>
      <c r="W49" s="14" t="s">
        <v>91</v>
      </c>
      <c r="X49" s="14" t="s">
        <v>91</v>
      </c>
      <c r="Y49" s="14" t="s">
        <v>93</v>
      </c>
      <c r="Z49" s="14" t="s">
        <v>88</v>
      </c>
      <c r="AA49" s="14" t="s">
        <v>93</v>
      </c>
      <c r="AB49" s="14" t="s">
        <v>93</v>
      </c>
      <c r="AC49" s="14" t="s">
        <v>93</v>
      </c>
      <c r="AD49" s="14" t="s">
        <v>98</v>
      </c>
      <c r="AE49" s="3" t="s">
        <v>105</v>
      </c>
      <c r="AF49" s="14" t="s">
        <v>88</v>
      </c>
    </row>
    <row r="50" customFormat="false" ht="12.75" hidden="false" customHeight="false" outlineLevel="0" collapsed="false">
      <c r="A50" s="3" t="s">
        <v>114</v>
      </c>
      <c r="B50" s="3" t="n">
        <v>50</v>
      </c>
      <c r="C50" s="11" t="n">
        <v>147000</v>
      </c>
      <c r="D50" s="11" t="n">
        <v>505000</v>
      </c>
      <c r="E50" s="11" t="n">
        <v>146996.449</v>
      </c>
      <c r="F50" s="11" t="n">
        <v>505018.33</v>
      </c>
      <c r="G50" s="12" t="n">
        <v>45581</v>
      </c>
      <c r="H50" s="13" t="n">
        <v>4.166</v>
      </c>
      <c r="I50" s="13" t="n">
        <v>1.8</v>
      </c>
      <c r="J50" s="13" t="n">
        <v>5</v>
      </c>
      <c r="K50" s="14" t="s">
        <v>88</v>
      </c>
      <c r="L50" s="14" t="s">
        <v>88</v>
      </c>
      <c r="M50" s="14" t="s">
        <v>88</v>
      </c>
      <c r="N50" s="14" t="s">
        <v>88</v>
      </c>
      <c r="O50" s="14" t="s">
        <v>89</v>
      </c>
      <c r="P50" s="14" t="s">
        <v>89</v>
      </c>
      <c r="Q50" s="14" t="s">
        <v>89</v>
      </c>
      <c r="R50" s="14" t="s">
        <v>89</v>
      </c>
      <c r="S50" s="14" t="s">
        <v>89</v>
      </c>
      <c r="T50" s="14" t="s">
        <v>92</v>
      </c>
      <c r="U50" s="14" t="s">
        <v>92</v>
      </c>
      <c r="V50" s="14" t="s">
        <v>106</v>
      </c>
      <c r="W50" s="14" t="s">
        <v>106</v>
      </c>
      <c r="X50" s="14" t="s">
        <v>106</v>
      </c>
      <c r="Y50" s="14" t="s">
        <v>90</v>
      </c>
      <c r="Z50" s="14" t="s">
        <v>90</v>
      </c>
      <c r="AA50" s="14" t="s">
        <v>93</v>
      </c>
      <c r="AB50" s="14" t="s">
        <v>88</v>
      </c>
      <c r="AC50" s="14" t="s">
        <v>90</v>
      </c>
      <c r="AD50" s="14" t="s">
        <v>98</v>
      </c>
      <c r="AE50" s="3" t="s">
        <v>119</v>
      </c>
      <c r="AF50" s="14" t="s">
        <v>88</v>
      </c>
    </row>
    <row r="51" customFormat="false" ht="12.75" hidden="false" customHeight="false" outlineLevel="0" collapsed="false">
      <c r="A51" s="3" t="s">
        <v>114</v>
      </c>
      <c r="B51" s="3" t="n">
        <v>51</v>
      </c>
      <c r="C51" s="11" t="n">
        <v>151000</v>
      </c>
      <c r="D51" s="11" t="n">
        <v>505000</v>
      </c>
      <c r="E51" s="11" t="n">
        <v>151006.083</v>
      </c>
      <c r="F51" s="11" t="n">
        <v>504992.411</v>
      </c>
      <c r="G51" s="12" t="n">
        <v>45581</v>
      </c>
      <c r="H51" s="13" t="n">
        <v>4.354</v>
      </c>
      <c r="I51" s="11" t="n">
        <v>0</v>
      </c>
      <c r="J51" s="11" t="n">
        <v>0</v>
      </c>
      <c r="K51" s="14" t="s">
        <v>88</v>
      </c>
      <c r="L51" s="14" t="s">
        <v>88</v>
      </c>
      <c r="M51" s="14" t="s">
        <v>88</v>
      </c>
      <c r="N51" s="14" t="s">
        <v>88</v>
      </c>
      <c r="O51" s="14" t="s">
        <v>96</v>
      </c>
      <c r="P51" s="14" t="s">
        <v>103</v>
      </c>
      <c r="Q51" s="14" t="s">
        <v>103</v>
      </c>
      <c r="R51" s="14" t="s">
        <v>96</v>
      </c>
      <c r="S51" s="14" t="s">
        <v>96</v>
      </c>
      <c r="T51" s="14" t="s">
        <v>97</v>
      </c>
      <c r="U51" s="14" t="s">
        <v>91</v>
      </c>
      <c r="V51" s="14" t="s">
        <v>91</v>
      </c>
      <c r="W51" s="14" t="s">
        <v>97</v>
      </c>
      <c r="X51" s="14" t="s">
        <v>97</v>
      </c>
      <c r="Y51" s="14" t="s">
        <v>88</v>
      </c>
      <c r="Z51" s="14" t="s">
        <v>88</v>
      </c>
      <c r="AA51" s="14" t="s">
        <v>88</v>
      </c>
      <c r="AB51" s="14" t="s">
        <v>88</v>
      </c>
      <c r="AC51" s="14" t="s">
        <v>88</v>
      </c>
      <c r="AD51" s="14" t="s">
        <v>98</v>
      </c>
      <c r="AE51" s="3" t="s">
        <v>119</v>
      </c>
      <c r="AF51" s="14" t="s">
        <v>88</v>
      </c>
    </row>
    <row r="52" customFormat="false" ht="12.75" hidden="false" customHeight="false" outlineLevel="0" collapsed="false">
      <c r="A52" s="3" t="s">
        <v>114</v>
      </c>
      <c r="B52" s="3" t="n">
        <v>52</v>
      </c>
      <c r="C52" s="11" t="n">
        <v>155000</v>
      </c>
      <c r="D52" s="11" t="n">
        <v>505000</v>
      </c>
      <c r="E52" s="11" t="n">
        <v>154992.207</v>
      </c>
      <c r="F52" s="11" t="n">
        <v>504990.574</v>
      </c>
      <c r="G52" s="12" t="n">
        <v>45581</v>
      </c>
      <c r="H52" s="13" t="n">
        <v>4.458</v>
      </c>
      <c r="I52" s="11" t="n">
        <v>0</v>
      </c>
      <c r="J52" s="11" t="n">
        <v>0</v>
      </c>
      <c r="K52" s="14" t="s">
        <v>88</v>
      </c>
      <c r="L52" s="14" t="s">
        <v>88</v>
      </c>
      <c r="M52" s="14" t="s">
        <v>88</v>
      </c>
      <c r="N52" s="14" t="s">
        <v>88</v>
      </c>
      <c r="O52" s="14" t="s">
        <v>96</v>
      </c>
      <c r="P52" s="14" t="s">
        <v>96</v>
      </c>
      <c r="Q52" s="14" t="s">
        <v>96</v>
      </c>
      <c r="R52" s="14" t="s">
        <v>96</v>
      </c>
      <c r="S52" s="14" t="s">
        <v>96</v>
      </c>
      <c r="T52" s="14" t="s">
        <v>97</v>
      </c>
      <c r="U52" s="14" t="s">
        <v>97</v>
      </c>
      <c r="V52" s="14" t="s">
        <v>97</v>
      </c>
      <c r="W52" s="14" t="s">
        <v>97</v>
      </c>
      <c r="X52" s="14" t="s">
        <v>97</v>
      </c>
      <c r="Y52" s="14" t="s">
        <v>88</v>
      </c>
      <c r="Z52" s="14" t="s">
        <v>88</v>
      </c>
      <c r="AA52" s="14" t="s">
        <v>88</v>
      </c>
      <c r="AB52" s="14" t="s">
        <v>88</v>
      </c>
      <c r="AC52" s="14" t="s">
        <v>88</v>
      </c>
      <c r="AD52" s="14" t="s">
        <v>98</v>
      </c>
      <c r="AE52" s="3" t="s">
        <v>119</v>
      </c>
      <c r="AF52" s="14" t="s">
        <v>88</v>
      </c>
    </row>
    <row r="53" customFormat="false" ht="12.75" hidden="false" customHeight="false" outlineLevel="0" collapsed="false">
      <c r="A53" s="3" t="s">
        <v>114</v>
      </c>
      <c r="B53" s="3" t="n">
        <v>53</v>
      </c>
      <c r="C53" s="11" t="n">
        <v>137000</v>
      </c>
      <c r="D53" s="11" t="n">
        <v>503000</v>
      </c>
      <c r="E53" s="11" t="n">
        <v>137011.826</v>
      </c>
      <c r="F53" s="11" t="n">
        <v>503002.715</v>
      </c>
      <c r="G53" s="12" t="n">
        <v>45581</v>
      </c>
      <c r="H53" s="13" t="n">
        <v>3.256</v>
      </c>
      <c r="I53" s="13" t="n">
        <v>2.6</v>
      </c>
      <c r="J53" s="13" t="n">
        <v>5.5</v>
      </c>
      <c r="K53" s="14" t="s">
        <v>88</v>
      </c>
      <c r="L53" s="14" t="s">
        <v>88</v>
      </c>
      <c r="M53" s="14" t="s">
        <v>88</v>
      </c>
      <c r="N53" s="14" t="s">
        <v>88</v>
      </c>
      <c r="O53" s="14" t="s">
        <v>121</v>
      </c>
      <c r="P53" s="14" t="s">
        <v>89</v>
      </c>
      <c r="Q53" s="14" t="s">
        <v>112</v>
      </c>
      <c r="R53" s="14" t="s">
        <v>121</v>
      </c>
      <c r="S53" s="14" t="s">
        <v>102</v>
      </c>
      <c r="T53" s="14" t="s">
        <v>91</v>
      </c>
      <c r="U53" s="14" t="s">
        <v>91</v>
      </c>
      <c r="V53" s="14" t="s">
        <v>109</v>
      </c>
      <c r="W53" s="14" t="s">
        <v>91</v>
      </c>
      <c r="X53" s="14" t="s">
        <v>109</v>
      </c>
      <c r="Y53" s="14" t="s">
        <v>90</v>
      </c>
      <c r="Z53" s="14" t="s">
        <v>93</v>
      </c>
      <c r="AA53" s="14" t="s">
        <v>90</v>
      </c>
      <c r="AB53" s="14" t="s">
        <v>90</v>
      </c>
      <c r="AC53" s="14" t="s">
        <v>90</v>
      </c>
      <c r="AD53" s="14" t="s">
        <v>98</v>
      </c>
      <c r="AE53" s="3" t="s">
        <v>119</v>
      </c>
      <c r="AF53" s="14" t="s">
        <v>88</v>
      </c>
    </row>
    <row r="54" customFormat="false" ht="12.75" hidden="false" customHeight="false" outlineLevel="0" collapsed="false">
      <c r="A54" s="3" t="s">
        <v>114</v>
      </c>
      <c r="B54" s="3" t="n">
        <v>54</v>
      </c>
      <c r="C54" s="11" t="n">
        <v>141000</v>
      </c>
      <c r="D54" s="11" t="n">
        <v>503000</v>
      </c>
      <c r="E54" s="11" t="n">
        <v>141017.738</v>
      </c>
      <c r="F54" s="11" t="n">
        <v>503002.598</v>
      </c>
      <c r="G54" s="12" t="n">
        <v>45581</v>
      </c>
      <c r="H54" s="13" t="n">
        <v>3.908</v>
      </c>
      <c r="I54" s="13" t="n">
        <v>4.6</v>
      </c>
      <c r="J54" s="13" t="n">
        <v>28.9</v>
      </c>
      <c r="K54" s="14" t="s">
        <v>88</v>
      </c>
      <c r="L54" s="14" t="s">
        <v>88</v>
      </c>
      <c r="M54" s="14" t="s">
        <v>88</v>
      </c>
      <c r="N54" s="14" t="s">
        <v>88</v>
      </c>
      <c r="O54" s="14" t="s">
        <v>110</v>
      </c>
      <c r="P54" s="14" t="s">
        <v>110</v>
      </c>
      <c r="Q54" s="14" t="s">
        <v>110</v>
      </c>
      <c r="R54" s="14" t="s">
        <v>110</v>
      </c>
      <c r="S54" s="14" t="s">
        <v>102</v>
      </c>
      <c r="T54" s="14" t="s">
        <v>91</v>
      </c>
      <c r="U54" s="14" t="s">
        <v>91</v>
      </c>
      <c r="V54" s="14" t="s">
        <v>91</v>
      </c>
      <c r="W54" s="14" t="s">
        <v>91</v>
      </c>
      <c r="X54" s="14" t="s">
        <v>97</v>
      </c>
      <c r="Y54" s="14" t="s">
        <v>90</v>
      </c>
      <c r="Z54" s="14" t="s">
        <v>93</v>
      </c>
      <c r="AA54" s="14" t="s">
        <v>93</v>
      </c>
      <c r="AB54" s="14" t="s">
        <v>93</v>
      </c>
      <c r="AC54" s="14" t="s">
        <v>93</v>
      </c>
      <c r="AD54" s="14" t="s">
        <v>94</v>
      </c>
      <c r="AE54" s="3" t="s">
        <v>119</v>
      </c>
      <c r="AF54" s="3" t="s">
        <v>122</v>
      </c>
    </row>
    <row r="55" customFormat="false" ht="12.75" hidden="false" customHeight="false" outlineLevel="0" collapsed="false">
      <c r="A55" s="3" t="s">
        <v>114</v>
      </c>
      <c r="B55" s="3" t="n">
        <v>55</v>
      </c>
      <c r="C55" s="11" t="n">
        <v>145000</v>
      </c>
      <c r="D55" s="11" t="n">
        <v>503000</v>
      </c>
      <c r="E55" s="11" t="n">
        <v>145333.04</v>
      </c>
      <c r="F55" s="11" t="n">
        <v>503004.35</v>
      </c>
      <c r="G55" s="12" t="n">
        <v>45579</v>
      </c>
      <c r="H55" s="13" t="n">
        <v>4.068</v>
      </c>
      <c r="I55" s="13" t="n">
        <v>0.2</v>
      </c>
      <c r="J55" s="13" t="n">
        <v>10</v>
      </c>
      <c r="K55" s="14" t="s">
        <v>88</v>
      </c>
      <c r="L55" s="14" t="s">
        <v>88</v>
      </c>
      <c r="M55" s="14" t="s">
        <v>88</v>
      </c>
      <c r="N55" s="14" t="s">
        <v>88</v>
      </c>
      <c r="O55" s="14" t="s">
        <v>102</v>
      </c>
      <c r="P55" s="14" t="s">
        <v>90</v>
      </c>
      <c r="Q55" s="14" t="s">
        <v>89</v>
      </c>
      <c r="R55" s="14" t="s">
        <v>89</v>
      </c>
      <c r="S55" s="14" t="s">
        <v>89</v>
      </c>
      <c r="T55" s="14" t="s">
        <v>109</v>
      </c>
      <c r="U55" s="14" t="s">
        <v>91</v>
      </c>
      <c r="V55" s="14" t="s">
        <v>91</v>
      </c>
      <c r="W55" s="14" t="s">
        <v>91</v>
      </c>
      <c r="X55" s="14" t="s">
        <v>91</v>
      </c>
      <c r="Y55" s="14" t="s">
        <v>93</v>
      </c>
      <c r="Z55" s="14" t="s">
        <v>90</v>
      </c>
      <c r="AA55" s="14" t="s">
        <v>90</v>
      </c>
      <c r="AB55" s="14" t="s">
        <v>93</v>
      </c>
      <c r="AC55" s="14" t="s">
        <v>88</v>
      </c>
      <c r="AD55" s="14" t="s">
        <v>98</v>
      </c>
      <c r="AE55" s="3" t="s">
        <v>105</v>
      </c>
      <c r="AF55" s="16" t="s">
        <v>123</v>
      </c>
    </row>
    <row r="56" customFormat="false" ht="12.75" hidden="false" customHeight="false" outlineLevel="0" collapsed="false">
      <c r="A56" s="3" t="s">
        <v>114</v>
      </c>
      <c r="B56" s="3" t="n">
        <v>56</v>
      </c>
      <c r="C56" s="11" t="n">
        <v>149000</v>
      </c>
      <c r="D56" s="11" t="n">
        <v>503000</v>
      </c>
      <c r="E56" s="11" t="n">
        <v>149008.449</v>
      </c>
      <c r="F56" s="11" t="n">
        <v>502993.717</v>
      </c>
      <c r="G56" s="12" t="n">
        <v>45581</v>
      </c>
      <c r="H56" s="13" t="n">
        <v>4.31</v>
      </c>
      <c r="I56" s="15" t="n">
        <v>0.01</v>
      </c>
      <c r="J56" s="15" t="n">
        <v>0.01</v>
      </c>
      <c r="K56" s="14" t="s">
        <v>88</v>
      </c>
      <c r="L56" s="14" t="s">
        <v>88</v>
      </c>
      <c r="M56" s="14" t="s">
        <v>88</v>
      </c>
      <c r="N56" s="14" t="s">
        <v>88</v>
      </c>
      <c r="O56" s="14" t="s">
        <v>96</v>
      </c>
      <c r="P56" s="14" t="s">
        <v>96</v>
      </c>
      <c r="Q56" s="14" t="s">
        <v>96</v>
      </c>
      <c r="R56" s="14" t="s">
        <v>96</v>
      </c>
      <c r="S56" s="14" t="s">
        <v>96</v>
      </c>
      <c r="T56" s="14" t="s">
        <v>97</v>
      </c>
      <c r="U56" s="14" t="s">
        <v>97</v>
      </c>
      <c r="V56" s="14" t="s">
        <v>97</v>
      </c>
      <c r="W56" s="14" t="s">
        <v>97</v>
      </c>
      <c r="X56" s="14" t="s">
        <v>97</v>
      </c>
      <c r="Y56" s="14" t="s">
        <v>99</v>
      </c>
      <c r="Z56" s="14" t="s">
        <v>88</v>
      </c>
      <c r="AA56" s="14" t="s">
        <v>88</v>
      </c>
      <c r="AB56" s="14" t="s">
        <v>88</v>
      </c>
      <c r="AC56" s="14" t="s">
        <v>88</v>
      </c>
      <c r="AD56" s="14" t="s">
        <v>98</v>
      </c>
      <c r="AE56" s="3" t="s">
        <v>119</v>
      </c>
      <c r="AF56" s="14" t="s">
        <v>88</v>
      </c>
    </row>
    <row r="57" customFormat="false" ht="12.75" hidden="false" customHeight="false" outlineLevel="0" collapsed="false">
      <c r="A57" s="3" t="s">
        <v>114</v>
      </c>
      <c r="B57" s="3" t="n">
        <v>57</v>
      </c>
      <c r="C57" s="11" t="n">
        <v>153000</v>
      </c>
      <c r="D57" s="11" t="n">
        <v>503000</v>
      </c>
      <c r="E57" s="11" t="n">
        <v>153003.936</v>
      </c>
      <c r="F57" s="11" t="n">
        <v>502993.038</v>
      </c>
      <c r="G57" s="12" t="n">
        <v>45581</v>
      </c>
      <c r="H57" s="13" t="n">
        <v>4.358</v>
      </c>
      <c r="I57" s="11" t="n">
        <v>0</v>
      </c>
      <c r="J57" s="11" t="n">
        <v>0</v>
      </c>
      <c r="K57" s="14" t="s">
        <v>88</v>
      </c>
      <c r="L57" s="14" t="s">
        <v>88</v>
      </c>
      <c r="M57" s="14" t="s">
        <v>88</v>
      </c>
      <c r="N57" s="14" t="s">
        <v>88</v>
      </c>
      <c r="O57" s="14" t="s">
        <v>96</v>
      </c>
      <c r="P57" s="14" t="s">
        <v>96</v>
      </c>
      <c r="Q57" s="14" t="s">
        <v>96</v>
      </c>
      <c r="R57" s="14" t="s">
        <v>96</v>
      </c>
      <c r="S57" s="14" t="s">
        <v>96</v>
      </c>
      <c r="T57" s="14" t="s">
        <v>97</v>
      </c>
      <c r="U57" s="14" t="s">
        <v>97</v>
      </c>
      <c r="V57" s="14" t="s">
        <v>97</v>
      </c>
      <c r="W57" s="14" t="s">
        <v>97</v>
      </c>
      <c r="X57" s="14" t="s">
        <v>97</v>
      </c>
      <c r="Y57" s="14" t="s">
        <v>88</v>
      </c>
      <c r="Z57" s="14" t="s">
        <v>88</v>
      </c>
      <c r="AA57" s="14" t="s">
        <v>88</v>
      </c>
      <c r="AB57" s="14" t="s">
        <v>88</v>
      </c>
      <c r="AC57" s="14" t="s">
        <v>88</v>
      </c>
      <c r="AD57" s="14" t="s">
        <v>98</v>
      </c>
      <c r="AE57" s="3" t="s">
        <v>119</v>
      </c>
      <c r="AF57" s="14" t="s">
        <v>88</v>
      </c>
    </row>
    <row r="58" customFormat="false" ht="12.75" hidden="false" customHeight="false" outlineLevel="0" collapsed="false">
      <c r="A58" s="3" t="s">
        <v>114</v>
      </c>
      <c r="B58" s="3" t="n">
        <v>58</v>
      </c>
      <c r="C58" s="11" t="n">
        <v>157000</v>
      </c>
      <c r="D58" s="11" t="n">
        <v>503000</v>
      </c>
      <c r="E58" s="11" t="n">
        <v>157015.371</v>
      </c>
      <c r="F58" s="11" t="n">
        <v>502996.727</v>
      </c>
      <c r="G58" s="12" t="n">
        <v>45581</v>
      </c>
      <c r="H58" s="13" t="n">
        <v>4.024</v>
      </c>
      <c r="I58" s="13" t="n">
        <v>0.7</v>
      </c>
      <c r="J58" s="11" t="n">
        <v>0</v>
      </c>
      <c r="K58" s="14" t="s">
        <v>88</v>
      </c>
      <c r="L58" s="14" t="n">
        <v>2</v>
      </c>
      <c r="M58" s="14" t="n">
        <v>5</v>
      </c>
      <c r="N58" s="14" t="s">
        <v>88</v>
      </c>
      <c r="O58" s="14" t="s">
        <v>89</v>
      </c>
      <c r="P58" s="14" t="s">
        <v>103</v>
      </c>
      <c r="Q58" s="14" t="s">
        <v>103</v>
      </c>
      <c r="R58" s="14" t="s">
        <v>103</v>
      </c>
      <c r="S58" s="14" t="s">
        <v>103</v>
      </c>
      <c r="T58" s="14" t="s">
        <v>92</v>
      </c>
      <c r="U58" s="14" t="s">
        <v>91</v>
      </c>
      <c r="V58" s="14" t="s">
        <v>91</v>
      </c>
      <c r="W58" s="14" t="s">
        <v>91</v>
      </c>
      <c r="X58" s="14" t="s">
        <v>91</v>
      </c>
      <c r="Y58" s="14" t="s">
        <v>88</v>
      </c>
      <c r="Z58" s="14" t="s">
        <v>88</v>
      </c>
      <c r="AA58" s="14" t="s">
        <v>88</v>
      </c>
      <c r="AB58" s="14" t="s">
        <v>99</v>
      </c>
      <c r="AC58" s="14" t="s">
        <v>111</v>
      </c>
      <c r="AD58" s="14" t="s">
        <v>98</v>
      </c>
      <c r="AE58" s="3" t="s">
        <v>119</v>
      </c>
      <c r="AF58" s="14" t="s">
        <v>88</v>
      </c>
    </row>
    <row r="59" customFormat="false" ht="12.75" hidden="false" customHeight="false" outlineLevel="0" collapsed="false">
      <c r="A59" s="3" t="s">
        <v>114</v>
      </c>
      <c r="B59" s="3" t="n">
        <v>59</v>
      </c>
      <c r="C59" s="11" t="n">
        <v>135000</v>
      </c>
      <c r="D59" s="11" t="n">
        <v>501000</v>
      </c>
      <c r="E59" s="11" t="n">
        <v>134991.892</v>
      </c>
      <c r="F59" s="11" t="n">
        <v>500984.197</v>
      </c>
      <c r="G59" s="12" t="n">
        <v>45581</v>
      </c>
      <c r="H59" s="13" t="n">
        <v>2.724</v>
      </c>
      <c r="I59" s="13" t="n">
        <v>10.4</v>
      </c>
      <c r="J59" s="13" t="n">
        <v>24.1</v>
      </c>
      <c r="K59" s="14" t="s">
        <v>88</v>
      </c>
      <c r="L59" s="14" t="s">
        <v>88</v>
      </c>
      <c r="M59" s="14" t="s">
        <v>88</v>
      </c>
      <c r="N59" s="14" t="s">
        <v>88</v>
      </c>
      <c r="O59" s="14" t="s">
        <v>121</v>
      </c>
      <c r="P59" s="14" t="s">
        <v>121</v>
      </c>
      <c r="Q59" s="14" t="s">
        <v>121</v>
      </c>
      <c r="R59" s="14" t="s">
        <v>102</v>
      </c>
      <c r="S59" s="14" t="s">
        <v>121</v>
      </c>
      <c r="T59" s="14" t="s">
        <v>97</v>
      </c>
      <c r="U59" s="14" t="s">
        <v>97</v>
      </c>
      <c r="V59" s="14" t="s">
        <v>97</v>
      </c>
      <c r="W59" s="14" t="s">
        <v>109</v>
      </c>
      <c r="X59" s="14" t="s">
        <v>97</v>
      </c>
      <c r="Y59" s="14" t="s">
        <v>90</v>
      </c>
      <c r="Z59" s="14" t="s">
        <v>93</v>
      </c>
      <c r="AA59" s="14" t="s">
        <v>99</v>
      </c>
      <c r="AB59" s="14" t="s">
        <v>90</v>
      </c>
      <c r="AC59" s="14" t="s">
        <v>90</v>
      </c>
      <c r="AD59" s="14" t="s">
        <v>94</v>
      </c>
      <c r="AE59" s="3" t="s">
        <v>119</v>
      </c>
      <c r="AF59" s="14" t="s">
        <v>88</v>
      </c>
    </row>
    <row r="60" customFormat="false" ht="12.75" hidden="false" customHeight="false" outlineLevel="0" collapsed="false">
      <c r="A60" s="3" t="s">
        <v>114</v>
      </c>
      <c r="B60" s="3" t="n">
        <v>60</v>
      </c>
      <c r="C60" s="11" t="n">
        <v>139000</v>
      </c>
      <c r="D60" s="11" t="n">
        <v>501000</v>
      </c>
      <c r="E60" s="11" t="n">
        <v>139011.163</v>
      </c>
      <c r="F60" s="11" t="n">
        <v>500990.186</v>
      </c>
      <c r="G60" s="12" t="n">
        <v>45581</v>
      </c>
      <c r="H60" s="13" t="n">
        <v>3.374</v>
      </c>
      <c r="I60" s="13" t="n">
        <v>0.2</v>
      </c>
      <c r="J60" s="11" t="n">
        <v>0</v>
      </c>
      <c r="K60" s="14" t="s">
        <v>88</v>
      </c>
      <c r="L60" s="14" t="s">
        <v>88</v>
      </c>
      <c r="M60" s="14" t="s">
        <v>88</v>
      </c>
      <c r="N60" s="14" t="s">
        <v>88</v>
      </c>
      <c r="O60" s="14" t="s">
        <v>103</v>
      </c>
      <c r="P60" s="14" t="s">
        <v>103</v>
      </c>
      <c r="Q60" s="14" t="s">
        <v>103</v>
      </c>
      <c r="R60" s="14" t="s">
        <v>103</v>
      </c>
      <c r="S60" s="14" t="s">
        <v>103</v>
      </c>
      <c r="T60" s="14" t="s">
        <v>92</v>
      </c>
      <c r="U60" s="14" t="s">
        <v>92</v>
      </c>
      <c r="V60" s="14" t="s">
        <v>106</v>
      </c>
      <c r="W60" s="14" t="s">
        <v>92</v>
      </c>
      <c r="X60" s="14" t="s">
        <v>92</v>
      </c>
      <c r="Y60" s="14" t="s">
        <v>90</v>
      </c>
      <c r="Z60" s="14" t="s">
        <v>90</v>
      </c>
      <c r="AA60" s="14" t="s">
        <v>88</v>
      </c>
      <c r="AB60" s="14" t="s">
        <v>88</v>
      </c>
      <c r="AC60" s="14" t="s">
        <v>88</v>
      </c>
      <c r="AD60" s="14" t="s">
        <v>98</v>
      </c>
      <c r="AE60" s="3" t="s">
        <v>119</v>
      </c>
      <c r="AF60" s="14" t="s">
        <v>88</v>
      </c>
    </row>
    <row r="61" customFormat="false" ht="12.75" hidden="false" customHeight="false" outlineLevel="0" collapsed="false">
      <c r="A61" s="3" t="s">
        <v>114</v>
      </c>
      <c r="B61" s="3" t="n">
        <v>61</v>
      </c>
      <c r="C61" s="11" t="n">
        <v>143000</v>
      </c>
      <c r="D61" s="11" t="n">
        <v>501000</v>
      </c>
      <c r="E61" s="11" t="n">
        <v>142996.497</v>
      </c>
      <c r="F61" s="11" t="n">
        <v>500990.087</v>
      </c>
      <c r="G61" s="12" t="n">
        <v>45581</v>
      </c>
      <c r="H61" s="13" t="n">
        <v>4.112</v>
      </c>
      <c r="I61" s="13" t="n">
        <v>0.8</v>
      </c>
      <c r="J61" s="13" t="n">
        <v>1.1</v>
      </c>
      <c r="K61" s="14" t="s">
        <v>88</v>
      </c>
      <c r="L61" s="14" t="s">
        <v>88</v>
      </c>
      <c r="M61" s="14" t="s">
        <v>88</v>
      </c>
      <c r="N61" s="14" t="s">
        <v>88</v>
      </c>
      <c r="O61" s="14" t="s">
        <v>103</v>
      </c>
      <c r="P61" s="14" t="s">
        <v>102</v>
      </c>
      <c r="Q61" s="14" t="s">
        <v>103</v>
      </c>
      <c r="R61" s="14" t="s">
        <v>102</v>
      </c>
      <c r="S61" s="14" t="s">
        <v>102</v>
      </c>
      <c r="T61" s="14" t="s">
        <v>91</v>
      </c>
      <c r="U61" s="14" t="s">
        <v>109</v>
      </c>
      <c r="V61" s="14" t="s">
        <v>91</v>
      </c>
      <c r="W61" s="14" t="s">
        <v>104</v>
      </c>
      <c r="X61" s="14" t="s">
        <v>109</v>
      </c>
      <c r="Y61" s="14" t="s">
        <v>90</v>
      </c>
      <c r="Z61" s="14" t="s">
        <v>90</v>
      </c>
      <c r="AA61" s="14" t="s">
        <v>90</v>
      </c>
      <c r="AB61" s="14" t="s">
        <v>90</v>
      </c>
      <c r="AC61" s="14" t="s">
        <v>88</v>
      </c>
      <c r="AD61" s="14" t="s">
        <v>98</v>
      </c>
      <c r="AE61" s="3" t="s">
        <v>119</v>
      </c>
      <c r="AF61" s="14" t="s">
        <v>88</v>
      </c>
    </row>
    <row r="62" customFormat="false" ht="12.75" hidden="false" customHeight="false" outlineLevel="0" collapsed="false">
      <c r="A62" s="3" t="s">
        <v>114</v>
      </c>
      <c r="B62" s="3" t="n">
        <v>62</v>
      </c>
      <c r="C62" s="11" t="n">
        <v>147000</v>
      </c>
      <c r="D62" s="11" t="n">
        <v>501000</v>
      </c>
      <c r="E62" s="11" t="n">
        <v>147007.498</v>
      </c>
      <c r="F62" s="11" t="n">
        <v>500999.185</v>
      </c>
      <c r="G62" s="12" t="n">
        <v>45581</v>
      </c>
      <c r="H62" s="13" t="n">
        <v>4.174</v>
      </c>
      <c r="I62" s="11" t="n">
        <v>0</v>
      </c>
      <c r="J62" s="11" t="n">
        <v>0</v>
      </c>
      <c r="K62" s="14" t="s">
        <v>88</v>
      </c>
      <c r="L62" s="14" t="s">
        <v>88</v>
      </c>
      <c r="M62" s="14" t="s">
        <v>88</v>
      </c>
      <c r="N62" s="14" t="s">
        <v>88</v>
      </c>
      <c r="O62" s="14" t="s">
        <v>96</v>
      </c>
      <c r="P62" s="14" t="s">
        <v>96</v>
      </c>
      <c r="Q62" s="14" t="s">
        <v>96</v>
      </c>
      <c r="R62" s="14" t="s">
        <v>96</v>
      </c>
      <c r="S62" s="14" t="s">
        <v>96</v>
      </c>
      <c r="T62" s="14" t="s">
        <v>97</v>
      </c>
      <c r="U62" s="14" t="s">
        <v>97</v>
      </c>
      <c r="V62" s="14" t="s">
        <v>97</v>
      </c>
      <c r="W62" s="14" t="s">
        <v>97</v>
      </c>
      <c r="X62" s="14" t="s">
        <v>97</v>
      </c>
      <c r="Y62" s="14" t="s">
        <v>88</v>
      </c>
      <c r="Z62" s="14" t="s">
        <v>88</v>
      </c>
      <c r="AA62" s="14" t="s">
        <v>88</v>
      </c>
      <c r="AB62" s="14" t="s">
        <v>88</v>
      </c>
      <c r="AC62" s="14" t="s">
        <v>88</v>
      </c>
      <c r="AD62" s="14" t="s">
        <v>98</v>
      </c>
      <c r="AE62" s="3" t="s">
        <v>119</v>
      </c>
      <c r="AF62" s="14" t="s">
        <v>88</v>
      </c>
    </row>
    <row r="63" customFormat="false" ht="12.75" hidden="false" customHeight="false" outlineLevel="0" collapsed="false">
      <c r="A63" s="3" t="s">
        <v>114</v>
      </c>
      <c r="B63" s="3" t="n">
        <v>63</v>
      </c>
      <c r="C63" s="11" t="n">
        <v>151000</v>
      </c>
      <c r="D63" s="11" t="n">
        <v>501000</v>
      </c>
      <c r="E63" s="11" t="n">
        <v>151004.881</v>
      </c>
      <c r="F63" s="11" t="n">
        <v>500998.214</v>
      </c>
      <c r="G63" s="12" t="n">
        <v>45581</v>
      </c>
      <c r="H63" s="13" t="n">
        <v>4.224</v>
      </c>
      <c r="I63" s="11" t="n">
        <v>0</v>
      </c>
      <c r="J63" s="11" t="n">
        <v>0</v>
      </c>
      <c r="K63" s="14" t="s">
        <v>88</v>
      </c>
      <c r="L63" s="14" t="s">
        <v>88</v>
      </c>
      <c r="M63" s="14" t="s">
        <v>88</v>
      </c>
      <c r="N63" s="14" t="s">
        <v>88</v>
      </c>
      <c r="O63" s="14" t="s">
        <v>96</v>
      </c>
      <c r="P63" s="14" t="s">
        <v>115</v>
      </c>
      <c r="Q63" s="14" t="s">
        <v>96</v>
      </c>
      <c r="R63" s="14" t="s">
        <v>115</v>
      </c>
      <c r="S63" s="14" t="s">
        <v>96</v>
      </c>
      <c r="T63" s="14" t="s">
        <v>97</v>
      </c>
      <c r="U63" s="14" t="s">
        <v>97</v>
      </c>
      <c r="V63" s="14" t="s">
        <v>97</v>
      </c>
      <c r="W63" s="14" t="s">
        <v>97</v>
      </c>
      <c r="X63" s="14" t="s">
        <v>97</v>
      </c>
      <c r="Y63" s="14" t="s">
        <v>88</v>
      </c>
      <c r="Z63" s="14" t="s">
        <v>88</v>
      </c>
      <c r="AA63" s="14" t="s">
        <v>88</v>
      </c>
      <c r="AB63" s="14" t="s">
        <v>88</v>
      </c>
      <c r="AC63" s="14" t="s">
        <v>88</v>
      </c>
      <c r="AD63" s="14" t="s">
        <v>98</v>
      </c>
      <c r="AE63" s="3" t="s">
        <v>119</v>
      </c>
      <c r="AF63" s="14" t="s">
        <v>88</v>
      </c>
    </row>
    <row r="64" customFormat="false" ht="12.75" hidden="false" customHeight="false" outlineLevel="0" collapsed="false">
      <c r="A64" s="3" t="s">
        <v>114</v>
      </c>
      <c r="B64" s="3" t="n">
        <v>64</v>
      </c>
      <c r="C64" s="11" t="n">
        <v>155000</v>
      </c>
      <c r="D64" s="11" t="n">
        <v>501000</v>
      </c>
      <c r="E64" s="11" t="n">
        <v>155005.52</v>
      </c>
      <c r="F64" s="11" t="n">
        <v>501001.607</v>
      </c>
      <c r="G64" s="12" t="n">
        <v>45581</v>
      </c>
      <c r="H64" s="13" t="n">
        <v>3.846</v>
      </c>
      <c r="I64" s="13" t="n">
        <v>0.2</v>
      </c>
      <c r="J64" s="11" t="n">
        <v>0</v>
      </c>
      <c r="K64" s="14" t="s">
        <v>88</v>
      </c>
      <c r="L64" s="14" t="n">
        <v>1.5</v>
      </c>
      <c r="M64" s="14" t="n">
        <v>4</v>
      </c>
      <c r="N64" s="14" t="s">
        <v>88</v>
      </c>
      <c r="O64" s="14" t="s">
        <v>96</v>
      </c>
      <c r="P64" s="14" t="s">
        <v>96</v>
      </c>
      <c r="Q64" s="14" t="s">
        <v>96</v>
      </c>
      <c r="R64" s="14" t="s">
        <v>96</v>
      </c>
      <c r="S64" s="14" t="s">
        <v>115</v>
      </c>
      <c r="T64" s="14" t="s">
        <v>97</v>
      </c>
      <c r="U64" s="14" t="s">
        <v>97</v>
      </c>
      <c r="V64" s="14" t="s">
        <v>97</v>
      </c>
      <c r="W64" s="14" t="s">
        <v>97</v>
      </c>
      <c r="X64" s="14" t="s">
        <v>109</v>
      </c>
      <c r="Y64" s="14" t="s">
        <v>111</v>
      </c>
      <c r="Z64" s="14" t="s">
        <v>88</v>
      </c>
      <c r="AA64" s="14" t="s">
        <v>88</v>
      </c>
      <c r="AB64" s="14" t="s">
        <v>88</v>
      </c>
      <c r="AC64" s="14" t="s">
        <v>111</v>
      </c>
      <c r="AD64" s="14" t="s">
        <v>98</v>
      </c>
      <c r="AE64" s="3" t="s">
        <v>119</v>
      </c>
      <c r="AF64" s="14" t="s">
        <v>88</v>
      </c>
    </row>
    <row r="65" customFormat="false" ht="12.75" hidden="false" customHeight="false" outlineLevel="0" collapsed="false">
      <c r="A65" s="3" t="s">
        <v>124</v>
      </c>
      <c r="B65" s="3" t="n">
        <v>65</v>
      </c>
      <c r="C65" s="11" t="n">
        <v>137000</v>
      </c>
      <c r="D65" s="11" t="n">
        <v>499000</v>
      </c>
      <c r="E65" s="11" t="n">
        <v>137014.642</v>
      </c>
      <c r="F65" s="11" t="n">
        <v>498981.229</v>
      </c>
      <c r="G65" s="12" t="n">
        <v>45586</v>
      </c>
      <c r="H65" s="13" t="n">
        <v>2.502</v>
      </c>
      <c r="I65" s="13" t="n">
        <v>0.2</v>
      </c>
      <c r="J65" s="11" t="n">
        <v>0</v>
      </c>
      <c r="K65" s="14" t="s">
        <v>88</v>
      </c>
      <c r="L65" s="14" t="s">
        <v>88</v>
      </c>
      <c r="M65" s="14" t="s">
        <v>88</v>
      </c>
      <c r="N65" s="14" t="s">
        <v>88</v>
      </c>
      <c r="O65" s="14" t="s">
        <v>103</v>
      </c>
      <c r="P65" s="14" t="s">
        <v>103</v>
      </c>
      <c r="Q65" s="14" t="s">
        <v>96</v>
      </c>
      <c r="R65" s="14" t="s">
        <v>103</v>
      </c>
      <c r="S65" s="14" t="s">
        <v>102</v>
      </c>
      <c r="T65" s="14" t="s">
        <v>97</v>
      </c>
      <c r="U65" s="14" t="s">
        <v>97</v>
      </c>
      <c r="V65" s="14" t="s">
        <v>97</v>
      </c>
      <c r="W65" s="14" t="s">
        <v>97</v>
      </c>
      <c r="X65" s="14" t="s">
        <v>97</v>
      </c>
      <c r="Y65" s="14" t="s">
        <v>88</v>
      </c>
      <c r="Z65" s="14" t="s">
        <v>88</v>
      </c>
      <c r="AA65" s="14" t="s">
        <v>88</v>
      </c>
      <c r="AB65" s="14" t="s">
        <v>90</v>
      </c>
      <c r="AC65" s="14" t="s">
        <v>90</v>
      </c>
      <c r="AD65" s="14" t="s">
        <v>98</v>
      </c>
      <c r="AE65" s="3" t="s">
        <v>125</v>
      </c>
      <c r="AF65" s="14" t="s">
        <v>88</v>
      </c>
    </row>
    <row r="66" customFormat="false" ht="12.75" hidden="false" customHeight="false" outlineLevel="0" collapsed="false">
      <c r="A66" s="3" t="s">
        <v>124</v>
      </c>
      <c r="B66" s="3" t="n">
        <v>66</v>
      </c>
      <c r="C66" s="11" t="n">
        <v>141000</v>
      </c>
      <c r="D66" s="11" t="n">
        <v>499000</v>
      </c>
      <c r="E66" s="11" t="n">
        <v>141000.376</v>
      </c>
      <c r="F66" s="11" t="n">
        <v>498998.877</v>
      </c>
      <c r="G66" s="12" t="n">
        <v>45586</v>
      </c>
      <c r="H66" s="13" t="n">
        <v>3.642</v>
      </c>
      <c r="I66" s="13" t="n">
        <v>5</v>
      </c>
      <c r="J66" s="13" t="n">
        <v>11</v>
      </c>
      <c r="K66" s="14" t="s">
        <v>88</v>
      </c>
      <c r="L66" s="14" t="s">
        <v>88</v>
      </c>
      <c r="M66" s="14" t="s">
        <v>88</v>
      </c>
      <c r="N66" s="14" t="s">
        <v>88</v>
      </c>
      <c r="O66" s="14" t="s">
        <v>102</v>
      </c>
      <c r="P66" s="14" t="s">
        <v>102</v>
      </c>
      <c r="Q66" s="14" t="s">
        <v>102</v>
      </c>
      <c r="R66" s="14" t="s">
        <v>102</v>
      </c>
      <c r="S66" s="14" t="s">
        <v>102</v>
      </c>
      <c r="T66" s="14" t="s">
        <v>109</v>
      </c>
      <c r="U66" s="14" t="s">
        <v>109</v>
      </c>
      <c r="V66" s="14" t="s">
        <v>109</v>
      </c>
      <c r="W66" s="14" t="s">
        <v>109</v>
      </c>
      <c r="X66" s="14" t="s">
        <v>109</v>
      </c>
      <c r="Y66" s="14" t="s">
        <v>88</v>
      </c>
      <c r="Z66" s="14" t="s">
        <v>88</v>
      </c>
      <c r="AA66" s="14" t="s">
        <v>90</v>
      </c>
      <c r="AB66" s="14" t="s">
        <v>99</v>
      </c>
      <c r="AC66" s="14" t="s">
        <v>90</v>
      </c>
      <c r="AD66" s="14" t="s">
        <v>98</v>
      </c>
      <c r="AE66" s="3" t="s">
        <v>125</v>
      </c>
      <c r="AF66" s="14" t="s">
        <v>88</v>
      </c>
    </row>
    <row r="67" customFormat="false" ht="12.75" hidden="false" customHeight="false" outlineLevel="0" collapsed="false">
      <c r="A67" s="3" t="s">
        <v>124</v>
      </c>
      <c r="B67" s="3" t="n">
        <v>67</v>
      </c>
      <c r="C67" s="11" t="n">
        <v>145000</v>
      </c>
      <c r="D67" s="11" t="n">
        <v>499000</v>
      </c>
      <c r="E67" s="11" t="n">
        <v>145007.68</v>
      </c>
      <c r="F67" s="11" t="n">
        <v>498991.338</v>
      </c>
      <c r="G67" s="12" t="n">
        <v>45586</v>
      </c>
      <c r="H67" s="13" t="n">
        <v>4.128</v>
      </c>
      <c r="I67" s="13" t="n">
        <v>0.3</v>
      </c>
      <c r="J67" s="13" t="n">
        <v>1.6</v>
      </c>
      <c r="K67" s="14" t="s">
        <v>88</v>
      </c>
      <c r="L67" s="14" t="s">
        <v>88</v>
      </c>
      <c r="M67" s="14" t="s">
        <v>88</v>
      </c>
      <c r="N67" s="14" t="s">
        <v>88</v>
      </c>
      <c r="O67" s="14" t="s">
        <v>90</v>
      </c>
      <c r="P67" s="14" t="s">
        <v>102</v>
      </c>
      <c r="Q67" s="14" t="s">
        <v>102</v>
      </c>
      <c r="R67" s="14" t="s">
        <v>103</v>
      </c>
      <c r="S67" s="14" t="s">
        <v>96</v>
      </c>
      <c r="T67" s="14" t="s">
        <v>92</v>
      </c>
      <c r="U67" s="14" t="s">
        <v>109</v>
      </c>
      <c r="V67" s="14" t="s">
        <v>109</v>
      </c>
      <c r="W67" s="14" t="s">
        <v>97</v>
      </c>
      <c r="X67" s="14" t="s">
        <v>97</v>
      </c>
      <c r="Y67" s="14" t="s">
        <v>90</v>
      </c>
      <c r="Z67" s="14" t="s">
        <v>90</v>
      </c>
      <c r="AA67" s="14" t="s">
        <v>90</v>
      </c>
      <c r="AB67" s="14" t="s">
        <v>90</v>
      </c>
      <c r="AC67" s="14" t="s">
        <v>90</v>
      </c>
      <c r="AD67" s="14" t="s">
        <v>98</v>
      </c>
      <c r="AE67" s="3" t="s">
        <v>125</v>
      </c>
      <c r="AF67" s="14" t="s">
        <v>88</v>
      </c>
    </row>
    <row r="68" customFormat="false" ht="12.75" hidden="false" customHeight="false" outlineLevel="0" collapsed="false">
      <c r="A68" s="3" t="s">
        <v>124</v>
      </c>
      <c r="B68" s="3" t="n">
        <v>68</v>
      </c>
      <c r="C68" s="11" t="n">
        <v>149000</v>
      </c>
      <c r="D68" s="11" t="n">
        <v>499000</v>
      </c>
      <c r="E68" s="11" t="n">
        <v>148993.128</v>
      </c>
      <c r="F68" s="11" t="n">
        <v>499001.555</v>
      </c>
      <c r="G68" s="12" t="n">
        <v>45586</v>
      </c>
      <c r="H68" s="13" t="n">
        <v>4.15</v>
      </c>
      <c r="I68" s="13" t="n">
        <v>0.7</v>
      </c>
      <c r="J68" s="13" t="n">
        <v>0.1</v>
      </c>
      <c r="K68" s="14" t="s">
        <v>88</v>
      </c>
      <c r="L68" s="14" t="n">
        <v>1</v>
      </c>
      <c r="M68" s="14" t="n">
        <v>1</v>
      </c>
      <c r="N68" s="14" t="s">
        <v>88</v>
      </c>
      <c r="O68" s="14" t="s">
        <v>102</v>
      </c>
      <c r="P68" s="14" t="s">
        <v>102</v>
      </c>
      <c r="Q68" s="14" t="s">
        <v>96</v>
      </c>
      <c r="R68" s="14" t="s">
        <v>96</v>
      </c>
      <c r="S68" s="14" t="s">
        <v>103</v>
      </c>
      <c r="T68" s="14" t="s">
        <v>109</v>
      </c>
      <c r="U68" s="14" t="s">
        <v>97</v>
      </c>
      <c r="V68" s="14" t="s">
        <v>97</v>
      </c>
      <c r="W68" s="14" t="s">
        <v>97</v>
      </c>
      <c r="X68" s="14" t="s">
        <v>91</v>
      </c>
      <c r="Y68" s="14" t="s">
        <v>88</v>
      </c>
      <c r="Z68" s="14" t="s">
        <v>111</v>
      </c>
      <c r="AA68" s="14" t="s">
        <v>88</v>
      </c>
      <c r="AB68" s="14" t="s">
        <v>88</v>
      </c>
      <c r="AC68" s="14" t="s">
        <v>88</v>
      </c>
      <c r="AD68" s="14" t="s">
        <v>98</v>
      </c>
      <c r="AE68" s="3" t="s">
        <v>125</v>
      </c>
      <c r="AF68" s="14" t="s">
        <v>88</v>
      </c>
    </row>
    <row r="69" customFormat="false" ht="12.75" hidden="false" customHeight="false" outlineLevel="0" collapsed="false">
      <c r="A69" s="3" t="s">
        <v>124</v>
      </c>
      <c r="B69" s="3" t="n">
        <v>70</v>
      </c>
      <c r="C69" s="11" t="n">
        <v>139000</v>
      </c>
      <c r="D69" s="11" t="n">
        <v>497000</v>
      </c>
      <c r="E69" s="11" t="n">
        <v>138999.484</v>
      </c>
      <c r="F69" s="11" t="n">
        <v>496999.148</v>
      </c>
      <c r="G69" s="12" t="n">
        <v>45586</v>
      </c>
      <c r="H69" s="13" t="n">
        <v>3.208</v>
      </c>
      <c r="I69" s="13" t="n">
        <v>0.6</v>
      </c>
      <c r="J69" s="13" t="n">
        <v>4.5</v>
      </c>
      <c r="K69" s="14" t="s">
        <v>88</v>
      </c>
      <c r="L69" s="14" t="s">
        <v>88</v>
      </c>
      <c r="M69" s="14" t="s">
        <v>88</v>
      </c>
      <c r="N69" s="14" t="s">
        <v>88</v>
      </c>
      <c r="O69" s="14" t="s">
        <v>102</v>
      </c>
      <c r="P69" s="14" t="s">
        <v>102</v>
      </c>
      <c r="Q69" s="14" t="s">
        <v>102</v>
      </c>
      <c r="R69" s="14" t="s">
        <v>102</v>
      </c>
      <c r="S69" s="14" t="s">
        <v>102</v>
      </c>
      <c r="T69" s="14" t="s">
        <v>109</v>
      </c>
      <c r="U69" s="14" t="s">
        <v>109</v>
      </c>
      <c r="V69" s="14" t="s">
        <v>109</v>
      </c>
      <c r="W69" s="14" t="s">
        <v>109</v>
      </c>
      <c r="X69" s="14" t="s">
        <v>109</v>
      </c>
      <c r="Y69" s="14" t="s">
        <v>90</v>
      </c>
      <c r="Z69" s="14" t="s">
        <v>93</v>
      </c>
      <c r="AA69" s="14" t="s">
        <v>88</v>
      </c>
      <c r="AB69" s="14" t="s">
        <v>90</v>
      </c>
      <c r="AC69" s="14" t="s">
        <v>88</v>
      </c>
      <c r="AD69" s="14" t="s">
        <v>98</v>
      </c>
      <c r="AE69" s="3" t="s">
        <v>125</v>
      </c>
      <c r="AF69" s="14" t="s">
        <v>88</v>
      </c>
    </row>
    <row r="70" customFormat="false" ht="12.75" hidden="false" customHeight="false" outlineLevel="0" collapsed="false">
      <c r="A70" s="3" t="s">
        <v>124</v>
      </c>
      <c r="B70" s="3" t="n">
        <v>71</v>
      </c>
      <c r="C70" s="11" t="n">
        <v>143000</v>
      </c>
      <c r="D70" s="11" t="n">
        <v>497000</v>
      </c>
      <c r="E70" s="11" t="n">
        <v>143007.193</v>
      </c>
      <c r="F70" s="11" t="n">
        <v>496988.315</v>
      </c>
      <c r="G70" s="12" t="n">
        <v>45586</v>
      </c>
      <c r="H70" s="13" t="n">
        <v>3.76</v>
      </c>
      <c r="I70" s="13" t="n">
        <v>1.2</v>
      </c>
      <c r="J70" s="13" t="n">
        <v>8</v>
      </c>
      <c r="K70" s="14" t="s">
        <v>88</v>
      </c>
      <c r="L70" s="14" t="s">
        <v>88</v>
      </c>
      <c r="M70" s="14" t="s">
        <v>88</v>
      </c>
      <c r="N70" s="14" t="s">
        <v>88</v>
      </c>
      <c r="O70" s="14" t="s">
        <v>103</v>
      </c>
      <c r="P70" s="14" t="s">
        <v>102</v>
      </c>
      <c r="Q70" s="14" t="s">
        <v>102</v>
      </c>
      <c r="R70" s="14" t="s">
        <v>102</v>
      </c>
      <c r="S70" s="14" t="s">
        <v>102</v>
      </c>
      <c r="T70" s="14" t="s">
        <v>91</v>
      </c>
      <c r="U70" s="14" t="s">
        <v>109</v>
      </c>
      <c r="V70" s="14" t="s">
        <v>109</v>
      </c>
      <c r="W70" s="14" t="s">
        <v>109</v>
      </c>
      <c r="X70" s="14" t="s">
        <v>109</v>
      </c>
      <c r="Y70" s="14" t="s">
        <v>90</v>
      </c>
      <c r="Z70" s="14" t="s">
        <v>90</v>
      </c>
      <c r="AA70" s="14" t="s">
        <v>90</v>
      </c>
      <c r="AB70" s="14" t="s">
        <v>90</v>
      </c>
      <c r="AC70" s="14" t="s">
        <v>90</v>
      </c>
      <c r="AD70" s="14" t="s">
        <v>98</v>
      </c>
      <c r="AE70" s="3" t="s">
        <v>125</v>
      </c>
      <c r="AF70" s="14" t="s">
        <v>88</v>
      </c>
    </row>
    <row r="71" customFormat="false" ht="12.75" hidden="false" customHeight="false" outlineLevel="0" collapsed="false">
      <c r="A71" s="3" t="s">
        <v>124</v>
      </c>
      <c r="B71" s="3" t="n">
        <v>72</v>
      </c>
      <c r="C71" s="11" t="n">
        <v>147000</v>
      </c>
      <c r="D71" s="11" t="n">
        <v>497000</v>
      </c>
      <c r="E71" s="11" t="n">
        <v>146992.557</v>
      </c>
      <c r="F71" s="11" t="n">
        <v>496987.569</v>
      </c>
      <c r="G71" s="12" t="n">
        <v>45586</v>
      </c>
      <c r="H71" s="13" t="n">
        <v>4.24</v>
      </c>
      <c r="I71" s="11" t="n">
        <v>0</v>
      </c>
      <c r="J71" s="11" t="n">
        <v>0</v>
      </c>
      <c r="K71" s="14" t="s">
        <v>88</v>
      </c>
      <c r="L71" s="14" t="s">
        <v>88</v>
      </c>
      <c r="M71" s="14" t="s">
        <v>88</v>
      </c>
      <c r="N71" s="14" t="s">
        <v>88</v>
      </c>
      <c r="O71" s="14" t="s">
        <v>96</v>
      </c>
      <c r="P71" s="14" t="s">
        <v>96</v>
      </c>
      <c r="Q71" s="14" t="s">
        <v>96</v>
      </c>
      <c r="R71" s="14" t="s">
        <v>96</v>
      </c>
      <c r="S71" s="14" t="s">
        <v>96</v>
      </c>
      <c r="T71" s="14" t="s">
        <v>97</v>
      </c>
      <c r="U71" s="14" t="s">
        <v>97</v>
      </c>
      <c r="V71" s="14" t="s">
        <v>97</v>
      </c>
      <c r="W71" s="14" t="s">
        <v>97</v>
      </c>
      <c r="X71" s="14" t="s">
        <v>97</v>
      </c>
      <c r="Y71" s="14" t="s">
        <v>88</v>
      </c>
      <c r="Z71" s="14" t="s">
        <v>88</v>
      </c>
      <c r="AA71" s="14" t="s">
        <v>88</v>
      </c>
      <c r="AB71" s="14" t="s">
        <v>88</v>
      </c>
      <c r="AC71" s="14" t="s">
        <v>88</v>
      </c>
      <c r="AD71" s="14" t="s">
        <v>98</v>
      </c>
      <c r="AE71" s="3" t="s">
        <v>125</v>
      </c>
      <c r="AF71" s="14" t="s">
        <v>88</v>
      </c>
    </row>
    <row r="72" customFormat="false" ht="12.75" hidden="false" customHeight="false" outlineLevel="0" collapsed="false">
      <c r="A72" s="3" t="s">
        <v>124</v>
      </c>
      <c r="B72" s="3" t="n">
        <v>73</v>
      </c>
      <c r="C72" s="11" t="n">
        <v>137000</v>
      </c>
      <c r="D72" s="11" t="n">
        <v>495000</v>
      </c>
      <c r="E72" s="11" t="n">
        <v>136987.815</v>
      </c>
      <c r="F72" s="11" t="n">
        <v>495007.283</v>
      </c>
      <c r="G72" s="12" t="n">
        <v>45586</v>
      </c>
      <c r="H72" s="13" t="n">
        <v>2.652</v>
      </c>
      <c r="I72" s="13" t="n">
        <v>9.5</v>
      </c>
      <c r="J72" s="13" t="n">
        <v>28.5</v>
      </c>
      <c r="K72" s="14" t="s">
        <v>88</v>
      </c>
      <c r="L72" s="14" t="s">
        <v>88</v>
      </c>
      <c r="M72" s="14" t="s">
        <v>88</v>
      </c>
      <c r="N72" s="14" t="s">
        <v>88</v>
      </c>
      <c r="O72" s="14" t="s">
        <v>120</v>
      </c>
      <c r="P72" s="14" t="s">
        <v>110</v>
      </c>
      <c r="Q72" s="14" t="s">
        <v>110</v>
      </c>
      <c r="R72" s="14" t="s">
        <v>110</v>
      </c>
      <c r="S72" s="14" t="s">
        <v>102</v>
      </c>
      <c r="T72" s="14" t="s">
        <v>91</v>
      </c>
      <c r="U72" s="14" t="s">
        <v>92</v>
      </c>
      <c r="V72" s="14" t="s">
        <v>92</v>
      </c>
      <c r="W72" s="14" t="s">
        <v>92</v>
      </c>
      <c r="X72" s="14" t="s">
        <v>109</v>
      </c>
      <c r="Y72" s="14" t="s">
        <v>90</v>
      </c>
      <c r="Z72" s="14" t="s">
        <v>88</v>
      </c>
      <c r="AA72" s="14" t="s">
        <v>90</v>
      </c>
      <c r="AB72" s="14" t="s">
        <v>90</v>
      </c>
      <c r="AC72" s="14" t="s">
        <v>93</v>
      </c>
      <c r="AD72" s="14" t="s">
        <v>98</v>
      </c>
      <c r="AE72" s="3" t="s">
        <v>125</v>
      </c>
      <c r="AF72" s="14" t="s">
        <v>88</v>
      </c>
    </row>
    <row r="73" customFormat="false" ht="12.75" hidden="false" customHeight="false" outlineLevel="0" collapsed="false">
      <c r="A73" s="3" t="s">
        <v>124</v>
      </c>
      <c r="B73" s="3" t="n">
        <v>74</v>
      </c>
      <c r="C73" s="11" t="n">
        <v>141000</v>
      </c>
      <c r="D73" s="11" t="n">
        <v>495000</v>
      </c>
      <c r="E73" s="11" t="n">
        <v>140993.113</v>
      </c>
      <c r="F73" s="11" t="n">
        <v>495010.18</v>
      </c>
      <c r="G73" s="12" t="n">
        <v>45586</v>
      </c>
      <c r="H73" s="13" t="n">
        <v>3.79</v>
      </c>
      <c r="I73" s="13" t="n">
        <v>3.3</v>
      </c>
      <c r="J73" s="13" t="n">
        <v>22.7</v>
      </c>
      <c r="K73" s="14" t="s">
        <v>88</v>
      </c>
      <c r="L73" s="14" t="s">
        <v>88</v>
      </c>
      <c r="M73" s="14" t="s">
        <v>88</v>
      </c>
      <c r="N73" s="14" t="s">
        <v>88</v>
      </c>
      <c r="O73" s="14" t="s">
        <v>112</v>
      </c>
      <c r="P73" s="14" t="s">
        <v>102</v>
      </c>
      <c r="Q73" s="14" t="s">
        <v>102</v>
      </c>
      <c r="R73" s="14" t="s">
        <v>113</v>
      </c>
      <c r="S73" s="14" t="s">
        <v>102</v>
      </c>
      <c r="T73" s="14" t="s">
        <v>109</v>
      </c>
      <c r="U73" s="14" t="s">
        <v>109</v>
      </c>
      <c r="V73" s="14" t="s">
        <v>109</v>
      </c>
      <c r="W73" s="14" t="s">
        <v>109</v>
      </c>
      <c r="X73" s="14" t="s">
        <v>104</v>
      </c>
      <c r="Y73" s="14" t="s">
        <v>99</v>
      </c>
      <c r="Z73" s="14" t="s">
        <v>99</v>
      </c>
      <c r="AA73" s="14" t="s">
        <v>99</v>
      </c>
      <c r="AB73" s="14" t="s">
        <v>99</v>
      </c>
      <c r="AC73" s="14" t="s">
        <v>93</v>
      </c>
      <c r="AD73" s="14" t="s">
        <v>98</v>
      </c>
      <c r="AE73" s="3" t="s">
        <v>125</v>
      </c>
      <c r="AF73" s="14" t="s">
        <v>88</v>
      </c>
    </row>
    <row r="74" customFormat="false" ht="12.75" hidden="false" customHeight="false" outlineLevel="0" collapsed="false">
      <c r="A74" s="3" t="s">
        <v>124</v>
      </c>
      <c r="B74" s="3" t="n">
        <v>75</v>
      </c>
      <c r="C74" s="11" t="n">
        <v>145000</v>
      </c>
      <c r="D74" s="11" t="n">
        <v>495000</v>
      </c>
      <c r="E74" s="11" t="n">
        <v>145003.235</v>
      </c>
      <c r="F74" s="11" t="n">
        <v>494990.956</v>
      </c>
      <c r="G74" s="12" t="n">
        <v>45586</v>
      </c>
      <c r="H74" s="13" t="n">
        <v>3.944</v>
      </c>
      <c r="I74" s="13" t="n">
        <v>2.6</v>
      </c>
      <c r="J74" s="13" t="n">
        <v>10</v>
      </c>
      <c r="K74" s="14" t="s">
        <v>88</v>
      </c>
      <c r="L74" s="14" t="s">
        <v>88</v>
      </c>
      <c r="M74" s="14" t="s">
        <v>88</v>
      </c>
      <c r="N74" s="14" t="s">
        <v>88</v>
      </c>
      <c r="O74" s="14" t="s">
        <v>96</v>
      </c>
      <c r="P74" s="14" t="s">
        <v>115</v>
      </c>
      <c r="Q74" s="14" t="s">
        <v>102</v>
      </c>
      <c r="R74" s="14" t="s">
        <v>102</v>
      </c>
      <c r="S74" s="14" t="s">
        <v>96</v>
      </c>
      <c r="T74" s="14" t="s">
        <v>97</v>
      </c>
      <c r="U74" s="14" t="s">
        <v>109</v>
      </c>
      <c r="V74" s="14" t="s">
        <v>109</v>
      </c>
      <c r="W74" s="14" t="s">
        <v>109</v>
      </c>
      <c r="X74" s="14" t="s">
        <v>97</v>
      </c>
      <c r="Y74" s="14" t="s">
        <v>90</v>
      </c>
      <c r="Z74" s="14" t="s">
        <v>90</v>
      </c>
      <c r="AA74" s="14" t="s">
        <v>88</v>
      </c>
      <c r="AB74" s="14" t="s">
        <v>93</v>
      </c>
      <c r="AC74" s="14" t="s">
        <v>93</v>
      </c>
      <c r="AD74" s="14" t="s">
        <v>98</v>
      </c>
      <c r="AE74" s="3" t="s">
        <v>125</v>
      </c>
      <c r="AF74" s="14" t="s">
        <v>88</v>
      </c>
    </row>
    <row r="75" customFormat="false" ht="12.75" hidden="false" customHeight="false" outlineLevel="0" collapsed="false">
      <c r="A75" s="3" t="s">
        <v>124</v>
      </c>
      <c r="B75" s="3" t="n">
        <v>76</v>
      </c>
      <c r="C75" s="11" t="n">
        <v>135000</v>
      </c>
      <c r="D75" s="11" t="n">
        <v>493000</v>
      </c>
      <c r="E75" s="11" t="n">
        <v>135007.004</v>
      </c>
      <c r="F75" s="11" t="n">
        <v>493008.549</v>
      </c>
      <c r="G75" s="12" t="n">
        <v>45587</v>
      </c>
      <c r="H75" s="13" t="n">
        <v>2.674</v>
      </c>
      <c r="I75" s="13" t="n">
        <v>1.6</v>
      </c>
      <c r="J75" s="13" t="n">
        <v>3</v>
      </c>
      <c r="K75" s="14" t="s">
        <v>88</v>
      </c>
      <c r="L75" s="14" t="s">
        <v>88</v>
      </c>
      <c r="M75" s="14" t="s">
        <v>88</v>
      </c>
      <c r="N75" s="14" t="s">
        <v>88</v>
      </c>
      <c r="O75" s="14" t="s">
        <v>112</v>
      </c>
      <c r="P75" s="14" t="s">
        <v>112</v>
      </c>
      <c r="Q75" s="14" t="s">
        <v>112</v>
      </c>
      <c r="R75" s="14" t="s">
        <v>113</v>
      </c>
      <c r="S75" s="14" t="s">
        <v>121</v>
      </c>
      <c r="T75" s="14" t="s">
        <v>109</v>
      </c>
      <c r="U75" s="14" t="s">
        <v>109</v>
      </c>
      <c r="V75" s="14" t="s">
        <v>109</v>
      </c>
      <c r="W75" s="14" t="s">
        <v>104</v>
      </c>
      <c r="X75" s="14" t="s">
        <v>97</v>
      </c>
      <c r="Y75" s="14" t="s">
        <v>90</v>
      </c>
      <c r="Z75" s="14" t="s">
        <v>93</v>
      </c>
      <c r="AA75" s="14" t="s">
        <v>88</v>
      </c>
      <c r="AB75" s="14" t="s">
        <v>90</v>
      </c>
      <c r="AC75" s="14" t="s">
        <v>93</v>
      </c>
      <c r="AD75" s="14" t="s">
        <v>94</v>
      </c>
      <c r="AE75" s="3" t="s">
        <v>126</v>
      </c>
      <c r="AF75" s="14" t="s">
        <v>88</v>
      </c>
    </row>
    <row r="76" customFormat="false" ht="12.75" hidden="false" customHeight="false" outlineLevel="0" collapsed="false">
      <c r="A76" s="3" t="s">
        <v>124</v>
      </c>
      <c r="B76" s="3" t="n">
        <v>77</v>
      </c>
      <c r="C76" s="11" t="n">
        <v>139000</v>
      </c>
      <c r="D76" s="11" t="n">
        <v>493000</v>
      </c>
      <c r="E76" s="11" t="n">
        <v>139008.276</v>
      </c>
      <c r="F76" s="11" t="n">
        <v>493005.515</v>
      </c>
      <c r="G76" s="12" t="n">
        <v>45586</v>
      </c>
      <c r="H76" s="13" t="n">
        <v>3.792</v>
      </c>
      <c r="I76" s="13" t="n">
        <v>5</v>
      </c>
      <c r="J76" s="13" t="n">
        <v>38.5</v>
      </c>
      <c r="K76" s="14" t="s">
        <v>88</v>
      </c>
      <c r="L76" s="14" t="s">
        <v>88</v>
      </c>
      <c r="M76" s="14" t="s">
        <v>88</v>
      </c>
      <c r="N76" s="14" t="s">
        <v>88</v>
      </c>
      <c r="O76" s="14" t="s">
        <v>102</v>
      </c>
      <c r="P76" s="14" t="s">
        <v>102</v>
      </c>
      <c r="Q76" s="14" t="s">
        <v>120</v>
      </c>
      <c r="R76" s="14" t="s">
        <v>113</v>
      </c>
      <c r="S76" s="14" t="s">
        <v>102</v>
      </c>
      <c r="T76" s="14" t="s">
        <v>109</v>
      </c>
      <c r="U76" s="14" t="s">
        <v>104</v>
      </c>
      <c r="V76" s="14" t="s">
        <v>91</v>
      </c>
      <c r="W76" s="14" t="s">
        <v>109</v>
      </c>
      <c r="X76" s="14" t="s">
        <v>109</v>
      </c>
      <c r="Y76" s="14" t="s">
        <v>99</v>
      </c>
      <c r="Z76" s="14" t="s">
        <v>99</v>
      </c>
      <c r="AA76" s="14" t="s">
        <v>93</v>
      </c>
      <c r="AB76" s="14" t="s">
        <v>99</v>
      </c>
      <c r="AC76" s="14" t="s">
        <v>93</v>
      </c>
      <c r="AD76" s="14" t="s">
        <v>98</v>
      </c>
      <c r="AE76" s="3" t="s">
        <v>125</v>
      </c>
      <c r="AF76" s="14" t="s">
        <v>88</v>
      </c>
    </row>
    <row r="77" customFormat="false" ht="12.75" hidden="false" customHeight="false" outlineLevel="0" collapsed="false">
      <c r="A77" s="3" t="s">
        <v>124</v>
      </c>
      <c r="B77" s="3" t="n">
        <v>78</v>
      </c>
      <c r="C77" s="11" t="n">
        <v>143000</v>
      </c>
      <c r="D77" s="11" t="n">
        <v>493000</v>
      </c>
      <c r="E77" s="11" t="n">
        <v>142998.835</v>
      </c>
      <c r="F77" s="11" t="n">
        <v>492996.412</v>
      </c>
      <c r="G77" s="12" t="n">
        <v>45586</v>
      </c>
      <c r="H77" s="13" t="n">
        <v>3.73</v>
      </c>
      <c r="I77" s="13" t="n">
        <v>7.3</v>
      </c>
      <c r="J77" s="13" t="n">
        <v>14.7</v>
      </c>
      <c r="K77" s="14" t="s">
        <v>88</v>
      </c>
      <c r="L77" s="14" t="n">
        <v>3.5</v>
      </c>
      <c r="M77" s="14" t="n">
        <v>7</v>
      </c>
      <c r="N77" s="14" t="s">
        <v>88</v>
      </c>
      <c r="O77" s="14" t="s">
        <v>102</v>
      </c>
      <c r="P77" s="14" t="s">
        <v>102</v>
      </c>
      <c r="Q77" s="14" t="s">
        <v>116</v>
      </c>
      <c r="R77" s="14" t="s">
        <v>103</v>
      </c>
      <c r="S77" s="14" t="s">
        <v>116</v>
      </c>
      <c r="T77" s="14" t="s">
        <v>109</v>
      </c>
      <c r="U77" s="14" t="s">
        <v>109</v>
      </c>
      <c r="V77" s="14" t="s">
        <v>109</v>
      </c>
      <c r="W77" s="14" t="s">
        <v>91</v>
      </c>
      <c r="X77" s="14" t="s">
        <v>109</v>
      </c>
      <c r="Y77" s="14" t="s">
        <v>127</v>
      </c>
      <c r="Z77" s="14" t="s">
        <v>90</v>
      </c>
      <c r="AA77" s="14" t="s">
        <v>88</v>
      </c>
      <c r="AB77" s="14" t="s">
        <v>127</v>
      </c>
      <c r="AC77" s="14" t="s">
        <v>111</v>
      </c>
      <c r="AD77" s="14" t="s">
        <v>98</v>
      </c>
      <c r="AE77" s="3" t="s">
        <v>125</v>
      </c>
      <c r="AF77" s="14" t="s">
        <v>88</v>
      </c>
    </row>
    <row r="78" customFormat="false" ht="12.75" hidden="false" customHeight="false" outlineLevel="0" collapsed="false">
      <c r="A78" s="3" t="s">
        <v>124</v>
      </c>
      <c r="B78" s="3" t="n">
        <v>79</v>
      </c>
      <c r="C78" s="11" t="n">
        <v>133000</v>
      </c>
      <c r="D78" s="11" t="n">
        <v>491000</v>
      </c>
      <c r="E78" s="11" t="n">
        <v>132995.509</v>
      </c>
      <c r="F78" s="11" t="n">
        <v>490990.385</v>
      </c>
      <c r="G78" s="12" t="n">
        <v>45587</v>
      </c>
      <c r="H78" s="13" t="n">
        <v>3.03</v>
      </c>
      <c r="I78" s="13" t="n">
        <v>6.5</v>
      </c>
      <c r="J78" s="13" t="n">
        <v>13</v>
      </c>
      <c r="K78" s="14" t="s">
        <v>88</v>
      </c>
      <c r="L78" s="14" t="s">
        <v>88</v>
      </c>
      <c r="M78" s="14" t="s">
        <v>88</v>
      </c>
      <c r="N78" s="14" t="s">
        <v>88</v>
      </c>
      <c r="O78" s="14" t="s">
        <v>103</v>
      </c>
      <c r="P78" s="14" t="s">
        <v>112</v>
      </c>
      <c r="Q78" s="14" t="s">
        <v>112</v>
      </c>
      <c r="R78" s="14" t="s">
        <v>121</v>
      </c>
      <c r="S78" s="14" t="s">
        <v>112</v>
      </c>
      <c r="T78" s="14" t="s">
        <v>91</v>
      </c>
      <c r="U78" s="14" t="s">
        <v>109</v>
      </c>
      <c r="V78" s="14" t="s">
        <v>109</v>
      </c>
      <c r="W78" s="14" t="s">
        <v>97</v>
      </c>
      <c r="X78" s="14" t="s">
        <v>109</v>
      </c>
      <c r="Y78" s="14" t="s">
        <v>93</v>
      </c>
      <c r="Z78" s="14" t="s">
        <v>93</v>
      </c>
      <c r="AA78" s="14" t="s">
        <v>93</v>
      </c>
      <c r="AB78" s="14" t="s">
        <v>93</v>
      </c>
      <c r="AC78" s="14" t="s">
        <v>93</v>
      </c>
      <c r="AD78" s="14" t="s">
        <v>94</v>
      </c>
      <c r="AE78" s="3" t="s">
        <v>126</v>
      </c>
      <c r="AF78" s="14" t="s">
        <v>88</v>
      </c>
    </row>
    <row r="79" customFormat="false" ht="12.75" hidden="false" customHeight="false" outlineLevel="0" collapsed="false">
      <c r="A79" s="3" t="s">
        <v>124</v>
      </c>
      <c r="B79" s="3" t="n">
        <v>80</v>
      </c>
      <c r="C79" s="11" t="n">
        <v>137000</v>
      </c>
      <c r="D79" s="11" t="n">
        <v>491000</v>
      </c>
      <c r="E79" s="11" t="n">
        <v>137003.702</v>
      </c>
      <c r="F79" s="11" t="n">
        <v>490995.047</v>
      </c>
      <c r="G79" s="12" t="n">
        <v>45587</v>
      </c>
      <c r="H79" s="13" t="n">
        <v>4.01</v>
      </c>
      <c r="I79" s="13" t="n">
        <v>0.1</v>
      </c>
      <c r="J79" s="13" t="n">
        <v>0.2</v>
      </c>
      <c r="K79" s="14" t="s">
        <v>88</v>
      </c>
      <c r="L79" s="14" t="s">
        <v>88</v>
      </c>
      <c r="M79" s="14" t="s">
        <v>88</v>
      </c>
      <c r="N79" s="14" t="s">
        <v>88</v>
      </c>
      <c r="O79" s="14" t="s">
        <v>96</v>
      </c>
      <c r="P79" s="14" t="s">
        <v>96</v>
      </c>
      <c r="Q79" s="14" t="s">
        <v>121</v>
      </c>
      <c r="R79" s="14" t="s">
        <v>96</v>
      </c>
      <c r="S79" s="14" t="s">
        <v>112</v>
      </c>
      <c r="T79" s="14" t="s">
        <v>97</v>
      </c>
      <c r="U79" s="14" t="s">
        <v>109</v>
      </c>
      <c r="V79" s="14" t="s">
        <v>97</v>
      </c>
      <c r="W79" s="14" t="s">
        <v>109</v>
      </c>
      <c r="X79" s="14" t="s">
        <v>109</v>
      </c>
      <c r="Y79" s="14" t="s">
        <v>88</v>
      </c>
      <c r="Z79" s="14" t="s">
        <v>90</v>
      </c>
      <c r="AA79" s="14" t="s">
        <v>88</v>
      </c>
      <c r="AB79" s="14" t="s">
        <v>88</v>
      </c>
      <c r="AC79" s="14" t="s">
        <v>88</v>
      </c>
      <c r="AD79" s="14" t="s">
        <v>98</v>
      </c>
      <c r="AE79" s="3" t="s">
        <v>126</v>
      </c>
      <c r="AF79" s="14" t="s">
        <v>88</v>
      </c>
    </row>
    <row r="80" customFormat="false" ht="12.75" hidden="false" customHeight="false" outlineLevel="0" collapsed="false">
      <c r="A80" s="3" t="s">
        <v>124</v>
      </c>
      <c r="B80" s="3" t="n">
        <v>81</v>
      </c>
      <c r="C80" s="11" t="n">
        <v>140812.687325</v>
      </c>
      <c r="D80" s="11" t="n">
        <v>491234.93777</v>
      </c>
      <c r="E80" s="11" t="n">
        <v>140821.249</v>
      </c>
      <c r="F80" s="11" t="n">
        <v>491234.057</v>
      </c>
      <c r="G80" s="12" t="n">
        <v>45587</v>
      </c>
      <c r="H80" s="13" t="n">
        <v>3.632</v>
      </c>
      <c r="I80" s="13" t="n">
        <v>2</v>
      </c>
      <c r="J80" s="13" t="n">
        <v>0.4</v>
      </c>
      <c r="K80" s="14" t="s">
        <v>88</v>
      </c>
      <c r="L80" s="14" t="n">
        <v>3</v>
      </c>
      <c r="M80" s="14" t="n">
        <v>7</v>
      </c>
      <c r="N80" s="14" t="n">
        <v>1</v>
      </c>
      <c r="O80" s="14" t="s">
        <v>96</v>
      </c>
      <c r="P80" s="14" t="s">
        <v>96</v>
      </c>
      <c r="Q80" s="14" t="s">
        <v>96</v>
      </c>
      <c r="R80" s="14" t="s">
        <v>96</v>
      </c>
      <c r="S80" s="14" t="s">
        <v>96</v>
      </c>
      <c r="T80" s="14" t="s">
        <v>97</v>
      </c>
      <c r="U80" s="14" t="s">
        <v>97</v>
      </c>
      <c r="V80" s="14" t="s">
        <v>97</v>
      </c>
      <c r="W80" s="14" t="s">
        <v>97</v>
      </c>
      <c r="X80" s="14" t="s">
        <v>97</v>
      </c>
      <c r="Y80" s="14" t="s">
        <v>88</v>
      </c>
      <c r="Z80" s="14" t="s">
        <v>111</v>
      </c>
      <c r="AA80" s="14" t="s">
        <v>88</v>
      </c>
      <c r="AB80" s="14" t="s">
        <v>88</v>
      </c>
      <c r="AC80" s="14" t="s">
        <v>88</v>
      </c>
      <c r="AD80" s="14" t="s">
        <v>98</v>
      </c>
      <c r="AE80" s="3" t="s">
        <v>126</v>
      </c>
      <c r="AF80" s="14" t="s">
        <v>88</v>
      </c>
    </row>
    <row r="81" customFormat="false" ht="12.75" hidden="false" customHeight="false" outlineLevel="0" collapsed="false">
      <c r="A81" s="3" t="s">
        <v>124</v>
      </c>
      <c r="B81" s="3" t="n">
        <v>82</v>
      </c>
      <c r="C81" s="11" t="n">
        <v>131000</v>
      </c>
      <c r="D81" s="11" t="n">
        <v>489000</v>
      </c>
      <c r="E81" s="11" t="n">
        <v>131000.383</v>
      </c>
      <c r="F81" s="11" t="n">
        <v>488995.324</v>
      </c>
      <c r="G81" s="12" t="n">
        <v>45587</v>
      </c>
      <c r="H81" s="13" t="n">
        <v>2.554</v>
      </c>
      <c r="I81" s="13" t="n">
        <v>11</v>
      </c>
      <c r="J81" s="13" t="n">
        <v>14.5</v>
      </c>
      <c r="K81" s="14" t="s">
        <v>88</v>
      </c>
      <c r="L81" s="14" t="s">
        <v>88</v>
      </c>
      <c r="M81" s="14" t="s">
        <v>88</v>
      </c>
      <c r="N81" s="14" t="s">
        <v>88</v>
      </c>
      <c r="O81" s="14" t="s">
        <v>102</v>
      </c>
      <c r="P81" s="14" t="s">
        <v>102</v>
      </c>
      <c r="Q81" s="14" t="s">
        <v>120</v>
      </c>
      <c r="R81" s="14" t="s">
        <v>113</v>
      </c>
      <c r="S81" s="14" t="s">
        <v>102</v>
      </c>
      <c r="T81" s="14" t="s">
        <v>109</v>
      </c>
      <c r="U81" s="14" t="s">
        <v>109</v>
      </c>
      <c r="V81" s="14" t="s">
        <v>91</v>
      </c>
      <c r="W81" s="14" t="s">
        <v>109</v>
      </c>
      <c r="X81" s="14" t="s">
        <v>109</v>
      </c>
      <c r="Y81" s="14" t="s">
        <v>93</v>
      </c>
      <c r="Z81" s="14" t="s">
        <v>99</v>
      </c>
      <c r="AA81" s="14" t="s">
        <v>93</v>
      </c>
      <c r="AB81" s="14" t="s">
        <v>88</v>
      </c>
      <c r="AC81" s="14" t="s">
        <v>93</v>
      </c>
      <c r="AD81" s="14" t="s">
        <v>94</v>
      </c>
      <c r="AE81" s="3" t="s">
        <v>126</v>
      </c>
      <c r="AF81" s="14" t="s">
        <v>88</v>
      </c>
    </row>
    <row r="82" customFormat="false" ht="12.75" hidden="false" customHeight="false" outlineLevel="0" collapsed="false">
      <c r="A82" s="3" t="s">
        <v>124</v>
      </c>
      <c r="B82" s="3" t="n">
        <v>83</v>
      </c>
      <c r="C82" s="11" t="n">
        <v>135000</v>
      </c>
      <c r="D82" s="11" t="n">
        <v>489000</v>
      </c>
      <c r="E82" s="11" t="n">
        <v>135022.667</v>
      </c>
      <c r="F82" s="11" t="n">
        <v>488998.095</v>
      </c>
      <c r="G82" s="12" t="n">
        <v>45587</v>
      </c>
      <c r="H82" s="13" t="n">
        <v>3.188</v>
      </c>
      <c r="I82" s="13" t="n">
        <v>15.5</v>
      </c>
      <c r="J82" s="13" t="n">
        <v>58.5</v>
      </c>
      <c r="K82" s="14" t="s">
        <v>88</v>
      </c>
      <c r="L82" s="14" t="s">
        <v>88</v>
      </c>
      <c r="M82" s="14" t="s">
        <v>88</v>
      </c>
      <c r="N82" s="14" t="s">
        <v>88</v>
      </c>
      <c r="O82" s="14" t="s">
        <v>120</v>
      </c>
      <c r="P82" s="14" t="s">
        <v>89</v>
      </c>
      <c r="Q82" s="14" t="s">
        <v>89</v>
      </c>
      <c r="R82" s="14" t="s">
        <v>102</v>
      </c>
      <c r="S82" s="14" t="s">
        <v>89</v>
      </c>
      <c r="T82" s="14" t="s">
        <v>91</v>
      </c>
      <c r="U82" s="14" t="s">
        <v>91</v>
      </c>
      <c r="V82" s="14" t="s">
        <v>91</v>
      </c>
      <c r="W82" s="14" t="s">
        <v>109</v>
      </c>
      <c r="X82" s="14" t="s">
        <v>91</v>
      </c>
      <c r="Y82" s="14" t="s">
        <v>93</v>
      </c>
      <c r="Z82" s="14" t="s">
        <v>93</v>
      </c>
      <c r="AA82" s="14" t="s">
        <v>93</v>
      </c>
      <c r="AB82" s="14" t="s">
        <v>93</v>
      </c>
      <c r="AC82" s="14" t="s">
        <v>93</v>
      </c>
      <c r="AD82" s="14" t="s">
        <v>94</v>
      </c>
      <c r="AE82" s="3" t="s">
        <v>126</v>
      </c>
      <c r="AF82" s="14" t="s">
        <v>88</v>
      </c>
    </row>
    <row r="83" customFormat="false" ht="12.75" hidden="false" customHeight="false" outlineLevel="0" collapsed="false">
      <c r="A83" s="3" t="s">
        <v>128</v>
      </c>
      <c r="B83" s="3" t="n">
        <v>84</v>
      </c>
      <c r="C83" s="11" t="n">
        <v>129000</v>
      </c>
      <c r="D83" s="11" t="n">
        <v>487000</v>
      </c>
      <c r="E83" s="11" t="n">
        <v>128984.649</v>
      </c>
      <c r="F83" s="11" t="n">
        <v>487001.734</v>
      </c>
      <c r="G83" s="12" t="n">
        <v>45587</v>
      </c>
      <c r="H83" s="13" t="n">
        <v>2.2</v>
      </c>
      <c r="I83" s="13" t="n">
        <v>11.1</v>
      </c>
      <c r="J83" s="13" t="n">
        <v>38.9</v>
      </c>
      <c r="K83" s="14" t="s">
        <v>88</v>
      </c>
      <c r="L83" s="14" t="n">
        <v>1.5</v>
      </c>
      <c r="M83" s="14" t="n">
        <v>2</v>
      </c>
      <c r="N83" s="14" t="s">
        <v>88</v>
      </c>
      <c r="O83" s="14" t="s">
        <v>96</v>
      </c>
      <c r="P83" s="14" t="s">
        <v>115</v>
      </c>
      <c r="Q83" s="14" t="s">
        <v>96</v>
      </c>
      <c r="R83" s="14" t="s">
        <v>96</v>
      </c>
      <c r="S83" s="14" t="s">
        <v>115</v>
      </c>
      <c r="T83" s="14" t="s">
        <v>97</v>
      </c>
      <c r="U83" s="14" t="s">
        <v>109</v>
      </c>
      <c r="V83" s="14" t="s">
        <v>97</v>
      </c>
      <c r="W83" s="14" t="s">
        <v>97</v>
      </c>
      <c r="X83" s="14" t="s">
        <v>97</v>
      </c>
      <c r="Y83" s="14" t="s">
        <v>100</v>
      </c>
      <c r="Z83" s="14" t="s">
        <v>99</v>
      </c>
      <c r="AA83" s="14" t="s">
        <v>88</v>
      </c>
      <c r="AB83" s="14" t="s">
        <v>88</v>
      </c>
      <c r="AC83" s="14" t="s">
        <v>88</v>
      </c>
      <c r="AD83" s="14" t="s">
        <v>94</v>
      </c>
      <c r="AE83" s="3" t="s">
        <v>126</v>
      </c>
      <c r="AF83" s="14" t="s">
        <v>88</v>
      </c>
    </row>
    <row r="84" customFormat="false" ht="12.75" hidden="false" customHeight="false" outlineLevel="0" collapsed="false">
      <c r="A84" s="3" t="s">
        <v>128</v>
      </c>
      <c r="B84" s="3" t="n">
        <v>85</v>
      </c>
      <c r="C84" s="11" t="n">
        <v>133000</v>
      </c>
      <c r="D84" s="11" t="n">
        <v>487000</v>
      </c>
      <c r="E84" s="11" t="n">
        <v>133008.328</v>
      </c>
      <c r="F84" s="11" t="n">
        <v>486994.519</v>
      </c>
      <c r="G84" s="12" t="n">
        <v>45587</v>
      </c>
      <c r="H84" s="13" t="n">
        <v>2.912</v>
      </c>
      <c r="I84" s="13" t="n">
        <v>15.2</v>
      </c>
      <c r="J84" s="13" t="n">
        <v>43.8</v>
      </c>
      <c r="K84" s="14" t="s">
        <v>88</v>
      </c>
      <c r="L84" s="14" t="s">
        <v>88</v>
      </c>
      <c r="M84" s="14" t="s">
        <v>88</v>
      </c>
      <c r="N84" s="14" t="s">
        <v>88</v>
      </c>
      <c r="O84" s="14" t="s">
        <v>102</v>
      </c>
      <c r="P84" s="14" t="s">
        <v>102</v>
      </c>
      <c r="Q84" s="14" t="s">
        <v>112</v>
      </c>
      <c r="R84" s="14" t="s">
        <v>120</v>
      </c>
      <c r="S84" s="14" t="s">
        <v>102</v>
      </c>
      <c r="T84" s="14" t="s">
        <v>104</v>
      </c>
      <c r="U84" s="14" t="s">
        <v>104</v>
      </c>
      <c r="V84" s="14" t="s">
        <v>109</v>
      </c>
      <c r="W84" s="14" t="s">
        <v>91</v>
      </c>
      <c r="X84" s="14" t="s">
        <v>104</v>
      </c>
      <c r="Y84" s="14" t="s">
        <v>93</v>
      </c>
      <c r="Z84" s="14" t="s">
        <v>93</v>
      </c>
      <c r="AA84" s="14" t="s">
        <v>93</v>
      </c>
      <c r="AB84" s="14" t="s">
        <v>93</v>
      </c>
      <c r="AC84" s="14" t="s">
        <v>93</v>
      </c>
      <c r="AD84" s="14" t="s">
        <v>94</v>
      </c>
      <c r="AE84" s="3" t="s">
        <v>126</v>
      </c>
      <c r="AF84" s="14" t="s">
        <v>88</v>
      </c>
    </row>
    <row r="85" customFormat="false" ht="12.75" hidden="false" customHeight="false" outlineLevel="0" collapsed="false">
      <c r="A85" s="3" t="s">
        <v>128</v>
      </c>
      <c r="B85" s="3" t="n">
        <v>86</v>
      </c>
      <c r="C85" s="11" t="n">
        <v>137000</v>
      </c>
      <c r="D85" s="11" t="n">
        <v>487000</v>
      </c>
      <c r="E85" s="11" t="n">
        <v>136998.254</v>
      </c>
      <c r="F85" s="11" t="n">
        <v>487000.722</v>
      </c>
      <c r="G85" s="12" t="n">
        <v>45587</v>
      </c>
      <c r="H85" s="13" t="n">
        <v>2.38</v>
      </c>
      <c r="I85" s="13" t="n">
        <v>5.1</v>
      </c>
      <c r="J85" s="13" t="n">
        <v>4.4</v>
      </c>
      <c r="K85" s="14" t="s">
        <v>88</v>
      </c>
      <c r="L85" s="14" t="s">
        <v>88</v>
      </c>
      <c r="M85" s="14" t="s">
        <v>88</v>
      </c>
      <c r="N85" s="14" t="s">
        <v>88</v>
      </c>
      <c r="O85" s="14" t="s">
        <v>90</v>
      </c>
      <c r="P85" s="14" t="s">
        <v>90</v>
      </c>
      <c r="Q85" s="14" t="s">
        <v>90</v>
      </c>
      <c r="R85" s="14" t="s">
        <v>90</v>
      </c>
      <c r="S85" s="14" t="s">
        <v>90</v>
      </c>
      <c r="T85" s="14" t="s">
        <v>106</v>
      </c>
      <c r="U85" s="14" t="s">
        <v>106</v>
      </c>
      <c r="V85" s="14" t="s">
        <v>106</v>
      </c>
      <c r="W85" s="14" t="s">
        <v>106</v>
      </c>
      <c r="X85" s="14" t="s">
        <v>106</v>
      </c>
      <c r="Y85" s="14" t="s">
        <v>90</v>
      </c>
      <c r="Z85" s="14" t="s">
        <v>88</v>
      </c>
      <c r="AA85" s="14" t="s">
        <v>90</v>
      </c>
      <c r="AB85" s="14" t="s">
        <v>90</v>
      </c>
      <c r="AC85" s="14" t="s">
        <v>90</v>
      </c>
      <c r="AD85" s="14" t="s">
        <v>94</v>
      </c>
      <c r="AE85" s="3" t="s">
        <v>126</v>
      </c>
      <c r="AF85" s="14" t="s">
        <v>88</v>
      </c>
    </row>
    <row r="86" customFormat="false" ht="12.75" hidden="false" customHeight="false" outlineLevel="0" collapsed="false">
      <c r="A86" s="3" t="s">
        <v>128</v>
      </c>
      <c r="B86" s="3" t="n">
        <v>87</v>
      </c>
      <c r="C86" s="11" t="n">
        <v>131166.687833</v>
      </c>
      <c r="D86" s="11" t="n">
        <v>484970.895775</v>
      </c>
      <c r="E86" s="11" t="n">
        <v>131160.225</v>
      </c>
      <c r="F86" s="11" t="n">
        <v>484975.381</v>
      </c>
      <c r="G86" s="12" t="n">
        <v>45587</v>
      </c>
      <c r="H86" s="13" t="n">
        <v>2.59</v>
      </c>
      <c r="I86" s="13" t="n">
        <v>7.5</v>
      </c>
      <c r="J86" s="13" t="n">
        <v>19.5</v>
      </c>
      <c r="K86" s="14" t="s">
        <v>88</v>
      </c>
      <c r="L86" s="14" t="s">
        <v>88</v>
      </c>
      <c r="M86" s="14" t="s">
        <v>88</v>
      </c>
      <c r="N86" s="14" t="s">
        <v>88</v>
      </c>
      <c r="O86" s="14" t="s">
        <v>121</v>
      </c>
      <c r="P86" s="14" t="s">
        <v>96</v>
      </c>
      <c r="Q86" s="14" t="s">
        <v>103</v>
      </c>
      <c r="R86" s="14" t="s">
        <v>102</v>
      </c>
      <c r="S86" s="14" t="s">
        <v>102</v>
      </c>
      <c r="T86" s="14" t="s">
        <v>97</v>
      </c>
      <c r="U86" s="14" t="s">
        <v>97</v>
      </c>
      <c r="V86" s="14" t="s">
        <v>91</v>
      </c>
      <c r="W86" s="14" t="s">
        <v>97</v>
      </c>
      <c r="X86" s="14" t="s">
        <v>109</v>
      </c>
      <c r="Y86" s="14" t="s">
        <v>99</v>
      </c>
      <c r="Z86" s="14" t="s">
        <v>93</v>
      </c>
      <c r="AA86" s="14" t="s">
        <v>99</v>
      </c>
      <c r="AB86" s="14" t="s">
        <v>99</v>
      </c>
      <c r="AC86" s="14" t="s">
        <v>90</v>
      </c>
      <c r="AD86" s="14" t="s">
        <v>94</v>
      </c>
      <c r="AE86" s="3" t="s">
        <v>126</v>
      </c>
      <c r="AF86" s="14" t="s">
        <v>88</v>
      </c>
    </row>
    <row r="87" customFormat="false" ht="12.75" hidden="false" customHeight="false" outlineLevel="0" collapsed="false">
      <c r="A87" s="3" t="s">
        <v>128</v>
      </c>
      <c r="B87" s="3" t="n">
        <v>88</v>
      </c>
      <c r="C87" s="11" t="n">
        <v>135000</v>
      </c>
      <c r="D87" s="11" t="n">
        <v>485000</v>
      </c>
      <c r="E87" s="11" t="n">
        <v>135008.315</v>
      </c>
      <c r="F87" s="11" t="n">
        <v>484998.473</v>
      </c>
      <c r="G87" s="12" t="n">
        <v>45587</v>
      </c>
      <c r="H87" s="13" t="n">
        <v>11.5</v>
      </c>
      <c r="I87" s="11" t="n">
        <v>0</v>
      </c>
      <c r="J87" s="11" t="n">
        <v>0</v>
      </c>
      <c r="K87" s="14" t="s">
        <v>88</v>
      </c>
      <c r="L87" s="14" t="n">
        <v>1</v>
      </c>
      <c r="M87" s="14" t="n">
        <v>1</v>
      </c>
      <c r="N87" s="14" t="s">
        <v>88</v>
      </c>
      <c r="O87" s="14" t="s">
        <v>96</v>
      </c>
      <c r="P87" s="14" t="s">
        <v>96</v>
      </c>
      <c r="Q87" s="14" t="s">
        <v>96</v>
      </c>
      <c r="R87" s="14" t="s">
        <v>96</v>
      </c>
      <c r="S87" s="14" t="s">
        <v>96</v>
      </c>
      <c r="T87" s="14" t="s">
        <v>97</v>
      </c>
      <c r="U87" s="14" t="s">
        <v>97</v>
      </c>
      <c r="V87" s="14" t="s">
        <v>97</v>
      </c>
      <c r="W87" s="14" t="s">
        <v>97</v>
      </c>
      <c r="X87" s="14" t="s">
        <v>97</v>
      </c>
      <c r="Y87" s="14" t="s">
        <v>88</v>
      </c>
      <c r="Z87" s="14" t="s">
        <v>88</v>
      </c>
      <c r="AA87" s="14" t="s">
        <v>88</v>
      </c>
      <c r="AB87" s="14" t="s">
        <v>88</v>
      </c>
      <c r="AC87" s="14" t="s">
        <v>88</v>
      </c>
      <c r="AD87" s="14" t="s">
        <v>98</v>
      </c>
      <c r="AE87" s="3" t="s">
        <v>126</v>
      </c>
      <c r="AF87" s="14" t="s">
        <v>88</v>
      </c>
    </row>
    <row r="88" customFormat="false" ht="12.75" hidden="false" customHeight="false" outlineLevel="0" collapsed="false">
      <c r="A88" s="3" t="s">
        <v>129</v>
      </c>
      <c r="B88" s="3" t="n">
        <v>89</v>
      </c>
      <c r="C88" s="11" t="n">
        <v>133843.45647</v>
      </c>
      <c r="D88" s="11" t="n">
        <v>497301.288128</v>
      </c>
      <c r="E88" s="11" t="n">
        <v>133866.586</v>
      </c>
      <c r="F88" s="11" t="n">
        <v>497295.116</v>
      </c>
      <c r="G88" s="12" t="n">
        <v>45582</v>
      </c>
      <c r="H88" s="13" t="n">
        <v>2.35</v>
      </c>
      <c r="I88" s="13" t="n">
        <v>0.2</v>
      </c>
      <c r="J88" s="13" t="n">
        <v>0.1</v>
      </c>
      <c r="K88" s="14" t="s">
        <v>88</v>
      </c>
      <c r="L88" s="14" t="s">
        <v>88</v>
      </c>
      <c r="M88" s="14" t="s">
        <v>88</v>
      </c>
      <c r="N88" s="14" t="s">
        <v>88</v>
      </c>
      <c r="O88" s="14" t="s">
        <v>96</v>
      </c>
      <c r="P88" s="14" t="s">
        <v>96</v>
      </c>
      <c r="Q88" s="14" t="s">
        <v>130</v>
      </c>
      <c r="R88" s="14" t="s">
        <v>96</v>
      </c>
      <c r="S88" s="14" t="s">
        <v>96</v>
      </c>
      <c r="T88" s="14" t="s">
        <v>97</v>
      </c>
      <c r="U88" s="14" t="s">
        <v>97</v>
      </c>
      <c r="V88" s="14" t="s">
        <v>106</v>
      </c>
      <c r="W88" s="14" t="s">
        <v>97</v>
      </c>
      <c r="X88" s="14" t="s">
        <v>97</v>
      </c>
      <c r="Y88" s="14" t="s">
        <v>88</v>
      </c>
      <c r="Z88" s="14" t="s">
        <v>90</v>
      </c>
      <c r="AA88" s="14" t="s">
        <v>99</v>
      </c>
      <c r="AB88" s="14" t="s">
        <v>88</v>
      </c>
      <c r="AC88" s="14" t="s">
        <v>88</v>
      </c>
      <c r="AD88" s="14" t="s">
        <v>98</v>
      </c>
      <c r="AE88" s="3" t="s">
        <v>108</v>
      </c>
      <c r="AF88" s="16" t="s">
        <v>131</v>
      </c>
    </row>
    <row r="90" customFormat="false" ht="12.75" hidden="false" customHeight="false" outlineLevel="0" collapsed="false">
      <c r="H90" s="17"/>
    </row>
    <row r="91" customFormat="false" ht="12.75" hidden="false" customHeight="false" outlineLevel="0" collapsed="false">
      <c r="H91" s="17"/>
    </row>
    <row r="92" customFormat="false" ht="12.75" hidden="false" customHeight="false" outlineLevel="0" collapsed="false">
      <c r="H92" s="17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2:AF8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5" activeCellId="0" sqref="A5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3" min="3" style="1" width="10.29"/>
    <col collapsed="false" customWidth="true" hidden="false" outlineLevel="0" max="5" min="5" style="1" width="10.29"/>
    <col collapsed="false" customWidth="true" hidden="false" outlineLevel="0" max="7" min="7" style="1" width="10.29"/>
    <col collapsed="false" customWidth="true" hidden="false" outlineLevel="0" max="9" min="9" style="1" width="10.29"/>
    <col collapsed="false" customWidth="true" hidden="false" outlineLevel="0" max="11" min="11" style="1" width="10.29"/>
    <col collapsed="false" customWidth="true" hidden="false" outlineLevel="0" max="13" min="13" style="1" width="10.29"/>
  </cols>
  <sheetData>
    <row r="1" customFormat="false" ht="12.75" hidden="false" customHeight="false" outlineLevel="0" collapsed="false">
      <c r="A1" s="1" t="s">
        <v>132</v>
      </c>
    </row>
    <row r="3" customFormat="false" ht="12.75" hidden="false" customHeight="true" outlineLevel="0" collapsed="false">
      <c r="A3" s="18" t="s">
        <v>133</v>
      </c>
      <c r="B3" s="19" t="s">
        <v>87</v>
      </c>
      <c r="C3" s="19"/>
      <c r="D3" s="19" t="s">
        <v>134</v>
      </c>
      <c r="E3" s="19"/>
      <c r="F3" s="19" t="s">
        <v>135</v>
      </c>
      <c r="G3" s="19"/>
      <c r="H3" s="19" t="s">
        <v>136</v>
      </c>
      <c r="I3" s="19"/>
      <c r="J3" s="19" t="s">
        <v>101</v>
      </c>
      <c r="K3" s="19"/>
      <c r="L3" s="20" t="s">
        <v>137</v>
      </c>
    </row>
    <row r="4" customFormat="false" ht="12.75" hidden="false" customHeight="false" outlineLevel="0" collapsed="false">
      <c r="A4" s="18"/>
      <c r="B4" s="21" t="s">
        <v>138</v>
      </c>
      <c r="C4" s="22" t="s">
        <v>139</v>
      </c>
      <c r="D4" s="21" t="s">
        <v>138</v>
      </c>
      <c r="E4" s="22" t="s">
        <v>139</v>
      </c>
      <c r="F4" s="21" t="s">
        <v>138</v>
      </c>
      <c r="G4" s="22" t="s">
        <v>139</v>
      </c>
      <c r="H4" s="21" t="s">
        <v>138</v>
      </c>
      <c r="I4" s="23" t="s">
        <v>139</v>
      </c>
      <c r="J4" s="21" t="s">
        <v>138</v>
      </c>
      <c r="K4" s="23" t="s">
        <v>139</v>
      </c>
      <c r="L4" s="24"/>
    </row>
    <row r="5" customFormat="false" ht="12.75" hidden="false" customHeight="false" outlineLevel="0" collapsed="false">
      <c r="A5" s="25" t="n">
        <v>2</v>
      </c>
      <c r="B5" s="26" t="n">
        <v>54</v>
      </c>
      <c r="C5" s="27" t="n">
        <v>9</v>
      </c>
      <c r="D5" s="26"/>
      <c r="E5" s="27"/>
      <c r="F5" s="28" t="n">
        <v>9</v>
      </c>
      <c r="G5" s="27" t="n">
        <v>15</v>
      </c>
      <c r="H5" s="26" t="n">
        <v>9</v>
      </c>
      <c r="I5" s="29" t="n">
        <v>31</v>
      </c>
      <c r="J5" s="28" t="n">
        <v>5</v>
      </c>
      <c r="K5" s="30" t="n">
        <v>9</v>
      </c>
      <c r="L5" s="25" t="n">
        <f aca="false">SUM(B5:K5)</f>
        <v>141</v>
      </c>
    </row>
    <row r="6" customFormat="false" ht="12.75" hidden="false" customHeight="false" outlineLevel="0" collapsed="false">
      <c r="A6" s="25" t="n">
        <v>3</v>
      </c>
      <c r="B6" s="26" t="n">
        <v>18</v>
      </c>
      <c r="C6" s="27" t="n">
        <v>29</v>
      </c>
      <c r="D6" s="26" t="n">
        <v>3</v>
      </c>
      <c r="E6" s="27" t="n">
        <v>9</v>
      </c>
      <c r="F6" s="26" t="n">
        <v>4</v>
      </c>
      <c r="G6" s="27" t="n">
        <v>16</v>
      </c>
      <c r="H6" s="26" t="n">
        <v>8</v>
      </c>
      <c r="I6" s="1" t="n">
        <v>20</v>
      </c>
      <c r="J6" s="26" t="n">
        <v>8</v>
      </c>
      <c r="K6" s="1" t="n">
        <v>20</v>
      </c>
      <c r="L6" s="25" t="n">
        <f aca="false">SUM(B6:K6)</f>
        <v>135</v>
      </c>
    </row>
    <row r="7" customFormat="false" ht="12.75" hidden="false" customHeight="false" outlineLevel="0" collapsed="false">
      <c r="A7" s="25" t="n">
        <v>4</v>
      </c>
      <c r="B7" s="26"/>
      <c r="C7" s="27" t="n">
        <v>22</v>
      </c>
      <c r="D7" s="26" t="n">
        <v>2</v>
      </c>
      <c r="E7" s="27" t="n">
        <v>11</v>
      </c>
      <c r="F7" s="26" t="n">
        <v>4</v>
      </c>
      <c r="G7" s="27" t="n">
        <v>9</v>
      </c>
      <c r="H7" s="26" t="n">
        <v>18</v>
      </c>
      <c r="I7" s="1" t="n">
        <v>10</v>
      </c>
      <c r="J7" s="26" t="n">
        <v>2</v>
      </c>
      <c r="K7" s="1" t="n">
        <v>9</v>
      </c>
      <c r="L7" s="25" t="n">
        <f aca="false">SUM(B7:K7)</f>
        <v>87</v>
      </c>
    </row>
    <row r="8" customFormat="false" ht="12.75" hidden="false" customHeight="false" outlineLevel="0" collapsed="false">
      <c r="A8" s="25" t="n">
        <v>5</v>
      </c>
      <c r="B8" s="26" t="n">
        <v>1</v>
      </c>
      <c r="C8" s="27" t="n">
        <v>38</v>
      </c>
      <c r="D8" s="26" t="n">
        <v>4</v>
      </c>
      <c r="E8" s="27" t="n">
        <v>39</v>
      </c>
      <c r="F8" s="26" t="n">
        <v>7</v>
      </c>
      <c r="G8" s="27" t="n">
        <v>24</v>
      </c>
      <c r="H8" s="26" t="n">
        <v>11</v>
      </c>
      <c r="I8" s="1" t="n">
        <v>39</v>
      </c>
      <c r="J8" s="26" t="n">
        <v>1</v>
      </c>
      <c r="K8" s="1" t="n">
        <v>22</v>
      </c>
      <c r="L8" s="25" t="n">
        <f aca="false">SUM(B8:K8)</f>
        <v>186</v>
      </c>
    </row>
    <row r="9" customFormat="false" ht="12.75" hidden="false" customHeight="false" outlineLevel="0" collapsed="false">
      <c r="A9" s="25" t="n">
        <v>6</v>
      </c>
      <c r="B9" s="26" t="n">
        <v>12</v>
      </c>
      <c r="C9" s="27" t="n">
        <v>36</v>
      </c>
      <c r="D9" s="26" t="n">
        <v>15</v>
      </c>
      <c r="E9" s="27" t="n">
        <v>37</v>
      </c>
      <c r="F9" s="26" t="n">
        <v>10</v>
      </c>
      <c r="G9" s="27" t="n">
        <v>42</v>
      </c>
      <c r="H9" s="26" t="n">
        <v>7</v>
      </c>
      <c r="I9" s="1" t="n">
        <v>39</v>
      </c>
      <c r="J9" s="26" t="n">
        <v>3</v>
      </c>
      <c r="K9" s="1" t="n">
        <v>47</v>
      </c>
      <c r="L9" s="25" t="n">
        <f aca="false">SUM(B9:K9)</f>
        <v>248</v>
      </c>
    </row>
    <row r="10" customFormat="false" ht="12.75" hidden="false" customHeight="false" outlineLevel="0" collapsed="false">
      <c r="A10" s="25" t="n">
        <v>7</v>
      </c>
      <c r="B10" s="26" t="n">
        <v>11</v>
      </c>
      <c r="C10" s="27" t="n">
        <v>43</v>
      </c>
      <c r="D10" s="26" t="n">
        <v>41</v>
      </c>
      <c r="E10" s="27" t="n">
        <v>49</v>
      </c>
      <c r="F10" s="26" t="n">
        <v>3</v>
      </c>
      <c r="G10" s="27" t="n">
        <v>43</v>
      </c>
      <c r="H10" s="26" t="n">
        <v>10</v>
      </c>
      <c r="I10" s="1" t="n">
        <v>47</v>
      </c>
      <c r="J10" s="26" t="n">
        <v>3</v>
      </c>
      <c r="K10" s="1" t="n">
        <v>77</v>
      </c>
      <c r="L10" s="25" t="n">
        <f aca="false">SUM(B10:K10)</f>
        <v>327</v>
      </c>
    </row>
    <row r="11" customFormat="false" ht="12.75" hidden="false" customHeight="false" outlineLevel="0" collapsed="false">
      <c r="A11" s="25" t="n">
        <v>8</v>
      </c>
      <c r="B11" s="26" t="n">
        <v>11</v>
      </c>
      <c r="C11" s="27" t="n">
        <v>44</v>
      </c>
      <c r="D11" s="26" t="n">
        <v>91</v>
      </c>
      <c r="E11" s="27" t="n">
        <v>62</v>
      </c>
      <c r="F11" s="26" t="n">
        <v>13</v>
      </c>
      <c r="G11" s="27" t="n">
        <v>42</v>
      </c>
      <c r="H11" s="26" t="n">
        <v>6</v>
      </c>
      <c r="I11" s="1" t="n">
        <v>36</v>
      </c>
      <c r="J11" s="26"/>
      <c r="K11" s="1" t="n">
        <v>92</v>
      </c>
      <c r="L11" s="25" t="n">
        <f aca="false">SUM(B11:K11)</f>
        <v>397</v>
      </c>
    </row>
    <row r="12" customFormat="false" ht="12.75" hidden="false" customHeight="false" outlineLevel="0" collapsed="false">
      <c r="A12" s="25" t="n">
        <v>9</v>
      </c>
      <c r="B12" s="26" t="n">
        <v>32</v>
      </c>
      <c r="C12" s="27" t="n">
        <v>44</v>
      </c>
      <c r="D12" s="26" t="n">
        <v>43</v>
      </c>
      <c r="E12" s="27" t="n">
        <v>73</v>
      </c>
      <c r="F12" s="26" t="n">
        <v>9</v>
      </c>
      <c r="G12" s="27" t="n">
        <v>78</v>
      </c>
      <c r="H12" s="26" t="n">
        <v>3</v>
      </c>
      <c r="I12" s="1" t="n">
        <v>34</v>
      </c>
      <c r="J12" s="26" t="n">
        <v>5</v>
      </c>
      <c r="K12" s="1" t="n">
        <v>71</v>
      </c>
      <c r="L12" s="25" t="n">
        <f aca="false">SUM(B12:K12)</f>
        <v>392</v>
      </c>
    </row>
    <row r="13" customFormat="false" ht="12.75" hidden="false" customHeight="false" outlineLevel="0" collapsed="false">
      <c r="A13" s="25" t="n">
        <v>10</v>
      </c>
      <c r="B13" s="26" t="n">
        <v>30</v>
      </c>
      <c r="C13" s="27" t="n">
        <v>29</v>
      </c>
      <c r="D13" s="26" t="n">
        <v>42</v>
      </c>
      <c r="E13" s="27" t="n">
        <v>55</v>
      </c>
      <c r="F13" s="26" t="n">
        <v>11</v>
      </c>
      <c r="G13" s="27" t="n">
        <v>71</v>
      </c>
      <c r="H13" s="26" t="n">
        <v>5</v>
      </c>
      <c r="I13" s="1" t="n">
        <v>44</v>
      </c>
      <c r="J13" s="26" t="n">
        <v>6</v>
      </c>
      <c r="K13" s="1" t="n">
        <v>67</v>
      </c>
      <c r="L13" s="25" t="n">
        <f aca="false">SUM(B13:K13)</f>
        <v>360</v>
      </c>
    </row>
    <row r="14" customFormat="false" ht="12.75" hidden="false" customHeight="false" outlineLevel="0" collapsed="false">
      <c r="A14" s="25" t="n">
        <v>11</v>
      </c>
      <c r="B14" s="26" t="n">
        <v>39</v>
      </c>
      <c r="C14" s="27" t="n">
        <v>11</v>
      </c>
      <c r="D14" s="26" t="n">
        <v>26</v>
      </c>
      <c r="E14" s="27" t="n">
        <v>31</v>
      </c>
      <c r="F14" s="26" t="n">
        <v>12</v>
      </c>
      <c r="G14" s="27" t="n">
        <v>59</v>
      </c>
      <c r="H14" s="26" t="n">
        <v>9</v>
      </c>
      <c r="I14" s="1" t="n">
        <v>56</v>
      </c>
      <c r="J14" s="26" t="n">
        <v>5</v>
      </c>
      <c r="K14" s="1" t="n">
        <v>50</v>
      </c>
      <c r="L14" s="25" t="n">
        <f aca="false">SUM(B14:K14)</f>
        <v>298</v>
      </c>
    </row>
    <row r="15" customFormat="false" ht="12.75" hidden="false" customHeight="false" outlineLevel="0" collapsed="false">
      <c r="A15" s="25" t="n">
        <v>12</v>
      </c>
      <c r="B15" s="26" t="n">
        <v>23</v>
      </c>
      <c r="C15" s="27" t="n">
        <v>6</v>
      </c>
      <c r="D15" s="26" t="n">
        <v>45</v>
      </c>
      <c r="E15" s="27" t="n">
        <v>17</v>
      </c>
      <c r="F15" s="26" t="n">
        <v>21</v>
      </c>
      <c r="G15" s="27" t="n">
        <v>21</v>
      </c>
      <c r="H15" s="26" t="n">
        <v>15</v>
      </c>
      <c r="I15" s="1" t="n">
        <v>47</v>
      </c>
      <c r="J15" s="26" t="n">
        <v>17</v>
      </c>
      <c r="K15" s="1" t="n">
        <v>35</v>
      </c>
      <c r="L15" s="25" t="n">
        <f aca="false">SUM(B15:K15)</f>
        <v>247</v>
      </c>
    </row>
    <row r="16" customFormat="false" ht="12.75" hidden="false" customHeight="false" outlineLevel="0" collapsed="false">
      <c r="A16" s="25" t="n">
        <v>13</v>
      </c>
      <c r="B16" s="26" t="n">
        <v>13</v>
      </c>
      <c r="C16" s="27" t="n">
        <v>4</v>
      </c>
      <c r="D16" s="26" t="n">
        <v>49</v>
      </c>
      <c r="E16" s="27" t="n">
        <v>5</v>
      </c>
      <c r="F16" s="26" t="n">
        <v>30</v>
      </c>
      <c r="G16" s="27" t="n">
        <v>9</v>
      </c>
      <c r="H16" s="26" t="n">
        <v>21</v>
      </c>
      <c r="I16" s="1" t="n">
        <v>35</v>
      </c>
      <c r="J16" s="26" t="n">
        <v>29</v>
      </c>
      <c r="K16" s="1" t="n">
        <v>14</v>
      </c>
      <c r="L16" s="25" t="n">
        <f aca="false">SUM(B16:K16)</f>
        <v>209</v>
      </c>
    </row>
    <row r="17" customFormat="false" ht="12.75" hidden="false" customHeight="false" outlineLevel="0" collapsed="false">
      <c r="A17" s="25" t="n">
        <v>14</v>
      </c>
      <c r="B17" s="26" t="n">
        <v>18</v>
      </c>
      <c r="C17" s="27"/>
      <c r="D17" s="26" t="n">
        <v>63</v>
      </c>
      <c r="E17" s="27"/>
      <c r="F17" s="26" t="n">
        <v>35</v>
      </c>
      <c r="G17" s="27" t="n">
        <v>4</v>
      </c>
      <c r="H17" s="26" t="n">
        <v>21</v>
      </c>
      <c r="I17" s="1" t="n">
        <v>14</v>
      </c>
      <c r="J17" s="26" t="n">
        <v>26</v>
      </c>
      <c r="K17" s="1" t="n">
        <v>12</v>
      </c>
      <c r="L17" s="25" t="n">
        <f aca="false">SUM(B17:K17)</f>
        <v>193</v>
      </c>
    </row>
    <row r="18" customFormat="false" ht="12.75" hidden="false" customHeight="false" outlineLevel="0" collapsed="false">
      <c r="A18" s="25" t="n">
        <v>15</v>
      </c>
      <c r="B18" s="26" t="n">
        <v>14</v>
      </c>
      <c r="C18" s="27"/>
      <c r="D18" s="26" t="n">
        <v>48</v>
      </c>
      <c r="E18" s="27"/>
      <c r="F18" s="26" t="n">
        <v>30</v>
      </c>
      <c r="G18" s="27" t="n">
        <v>3</v>
      </c>
      <c r="H18" s="26" t="n">
        <v>22</v>
      </c>
      <c r="I18" s="1" t="n">
        <v>18</v>
      </c>
      <c r="J18" s="26" t="n">
        <v>37</v>
      </c>
      <c r="K18" s="1" t="n">
        <v>3</v>
      </c>
      <c r="L18" s="25" t="n">
        <f aca="false">SUM(B18:K18)</f>
        <v>175</v>
      </c>
    </row>
    <row r="19" customFormat="false" ht="12.75" hidden="false" customHeight="false" outlineLevel="0" collapsed="false">
      <c r="A19" s="25" t="n">
        <v>16</v>
      </c>
      <c r="B19" s="26" t="n">
        <v>10</v>
      </c>
      <c r="C19" s="27"/>
      <c r="D19" s="26" t="n">
        <v>31</v>
      </c>
      <c r="E19" s="27"/>
      <c r="F19" s="26" t="n">
        <v>41</v>
      </c>
      <c r="G19" s="27" t="n">
        <v>1</v>
      </c>
      <c r="H19" s="26" t="n">
        <v>29</v>
      </c>
      <c r="I19" s="1" t="n">
        <v>7</v>
      </c>
      <c r="J19" s="26" t="n">
        <v>34</v>
      </c>
      <c r="K19" s="1" t="n">
        <v>1</v>
      </c>
      <c r="L19" s="25" t="n">
        <f aca="false">SUM(B19:K19)</f>
        <v>154</v>
      </c>
    </row>
    <row r="20" customFormat="false" ht="12.75" hidden="false" customHeight="false" outlineLevel="0" collapsed="false">
      <c r="A20" s="25" t="n">
        <v>17</v>
      </c>
      <c r="B20" s="26" t="n">
        <v>8</v>
      </c>
      <c r="C20" s="27"/>
      <c r="D20" s="26" t="n">
        <v>15</v>
      </c>
      <c r="E20" s="27"/>
      <c r="F20" s="26" t="n">
        <v>40</v>
      </c>
      <c r="G20" s="27"/>
      <c r="H20" s="26" t="n">
        <v>38</v>
      </c>
      <c r="I20" s="1" t="n">
        <v>2</v>
      </c>
      <c r="J20" s="26" t="n">
        <v>21</v>
      </c>
      <c r="K20" s="1" t="n">
        <v>1</v>
      </c>
      <c r="L20" s="25" t="n">
        <f aca="false">SUM(B20:K20)</f>
        <v>125</v>
      </c>
    </row>
    <row r="21" customFormat="false" ht="12.75" hidden="false" customHeight="false" outlineLevel="0" collapsed="false">
      <c r="A21" s="25" t="n">
        <v>18</v>
      </c>
      <c r="B21" s="26" t="n">
        <v>2</v>
      </c>
      <c r="C21" s="27"/>
      <c r="D21" s="26" t="n">
        <v>8</v>
      </c>
      <c r="E21" s="27"/>
      <c r="F21" s="26" t="n">
        <v>22</v>
      </c>
      <c r="G21" s="27"/>
      <c r="H21" s="26" t="n">
        <v>32</v>
      </c>
      <c r="I21" s="1" t="n">
        <v>1</v>
      </c>
      <c r="J21" s="26" t="n">
        <v>12</v>
      </c>
      <c r="L21" s="25" t="n">
        <f aca="false">SUM(B21:K21)</f>
        <v>77</v>
      </c>
    </row>
    <row r="22" customFormat="false" ht="12.75" hidden="false" customHeight="false" outlineLevel="0" collapsed="false">
      <c r="A22" s="25" t="n">
        <v>19</v>
      </c>
      <c r="B22" s="26" t="n">
        <v>2</v>
      </c>
      <c r="C22" s="27"/>
      <c r="D22" s="26" t="n">
        <v>6</v>
      </c>
      <c r="E22" s="27"/>
      <c r="F22" s="26" t="n">
        <v>10</v>
      </c>
      <c r="G22" s="27"/>
      <c r="H22" s="26" t="n">
        <v>24</v>
      </c>
      <c r="I22" s="1" t="n">
        <v>1</v>
      </c>
      <c r="J22" s="26" t="n">
        <v>6</v>
      </c>
      <c r="L22" s="25" t="n">
        <f aca="false">SUM(B22:K22)</f>
        <v>49</v>
      </c>
    </row>
    <row r="23" customFormat="false" ht="12.75" hidden="false" customHeight="false" outlineLevel="0" collapsed="false">
      <c r="A23" s="25" t="n">
        <v>20</v>
      </c>
      <c r="B23" s="26"/>
      <c r="C23" s="27"/>
      <c r="D23" s="26" t="n">
        <v>2</v>
      </c>
      <c r="E23" s="27"/>
      <c r="F23" s="26" t="n">
        <v>4</v>
      </c>
      <c r="G23" s="27"/>
      <c r="H23" s="26" t="n">
        <v>12</v>
      </c>
      <c r="J23" s="26" t="n">
        <v>7</v>
      </c>
      <c r="L23" s="25" t="n">
        <f aca="false">SUM(B23:K23)</f>
        <v>25</v>
      </c>
    </row>
    <row r="24" customFormat="false" ht="12.75" hidden="false" customHeight="false" outlineLevel="0" collapsed="false">
      <c r="A24" s="25" t="n">
        <v>21</v>
      </c>
      <c r="B24" s="26"/>
      <c r="C24" s="27"/>
      <c r="D24" s="26"/>
      <c r="E24" s="27"/>
      <c r="F24" s="26" t="n">
        <v>3</v>
      </c>
      <c r="G24" s="27"/>
      <c r="H24" s="26" t="n">
        <v>6</v>
      </c>
      <c r="J24" s="26" t="n">
        <v>3</v>
      </c>
      <c r="L24" s="25" t="n">
        <f aca="false">SUM(B24:K24)</f>
        <v>12</v>
      </c>
    </row>
    <row r="25" customFormat="false" ht="12.75" hidden="false" customHeight="false" outlineLevel="0" collapsed="false">
      <c r="A25" s="25" t="n">
        <v>22</v>
      </c>
      <c r="B25" s="26"/>
      <c r="C25" s="27"/>
      <c r="D25" s="26"/>
      <c r="E25" s="27"/>
      <c r="F25" s="26" t="n">
        <v>1</v>
      </c>
      <c r="G25" s="27"/>
      <c r="H25" s="26" t="n">
        <v>7</v>
      </c>
      <c r="J25" s="26" t="n">
        <v>1</v>
      </c>
      <c r="L25" s="25" t="n">
        <f aca="false">SUM(B25:K25)</f>
        <v>9</v>
      </c>
    </row>
    <row r="26" customFormat="false" ht="12.75" hidden="false" customHeight="false" outlineLevel="0" collapsed="false">
      <c r="A26" s="25" t="n">
        <v>23</v>
      </c>
      <c r="B26" s="26"/>
      <c r="C26" s="27"/>
      <c r="D26" s="26"/>
      <c r="E26" s="27"/>
      <c r="F26" s="26"/>
      <c r="G26" s="27"/>
      <c r="H26" s="26" t="n">
        <v>1</v>
      </c>
      <c r="J26" s="26"/>
      <c r="L26" s="25" t="n">
        <f aca="false">SUM(B26:K26)</f>
        <v>1</v>
      </c>
    </row>
    <row r="27" customFormat="false" ht="12.75" hidden="false" customHeight="false" outlineLevel="0" collapsed="false">
      <c r="A27" s="25" t="n">
        <v>24</v>
      </c>
      <c r="B27" s="26"/>
      <c r="C27" s="27"/>
      <c r="D27" s="26"/>
      <c r="E27" s="27"/>
      <c r="F27" s="26"/>
      <c r="G27" s="27"/>
      <c r="H27" s="26"/>
      <c r="J27" s="26"/>
      <c r="L27" s="25" t="n">
        <f aca="false">SUM(B27:K27)</f>
        <v>0</v>
      </c>
    </row>
    <row r="28" customFormat="false" ht="12.75" hidden="false" customHeight="false" outlineLevel="0" collapsed="false">
      <c r="A28" s="25" t="n">
        <v>25</v>
      </c>
      <c r="B28" s="26"/>
      <c r="C28" s="27"/>
      <c r="D28" s="26"/>
      <c r="E28" s="27"/>
      <c r="F28" s="26"/>
      <c r="G28" s="27"/>
      <c r="H28" s="26"/>
      <c r="J28" s="26"/>
      <c r="L28" s="25" t="n">
        <f aca="false">SUM(B28:K28)</f>
        <v>0</v>
      </c>
    </row>
    <row r="29" customFormat="false" ht="12.75" hidden="false" customHeight="false" outlineLevel="0" collapsed="false">
      <c r="A29" s="25" t="n">
        <v>26</v>
      </c>
      <c r="B29" s="26"/>
      <c r="C29" s="27"/>
      <c r="D29" s="26"/>
      <c r="E29" s="27"/>
      <c r="F29" s="26"/>
      <c r="G29" s="27"/>
      <c r="H29" s="26"/>
      <c r="J29" s="26"/>
      <c r="L29" s="25" t="n">
        <f aca="false">SUM(B29:K29)</f>
        <v>0</v>
      </c>
    </row>
    <row r="30" customFormat="false" ht="12.75" hidden="false" customHeight="false" outlineLevel="0" collapsed="false">
      <c r="A30" s="25" t="n">
        <v>27</v>
      </c>
      <c r="B30" s="26"/>
      <c r="C30" s="27"/>
      <c r="D30" s="26"/>
      <c r="E30" s="27"/>
      <c r="F30" s="26"/>
      <c r="G30" s="27"/>
      <c r="H30" s="26"/>
      <c r="J30" s="26"/>
      <c r="L30" s="25" t="n">
        <f aca="false">SUM(B30:K30)</f>
        <v>0</v>
      </c>
    </row>
    <row r="31" customFormat="false" ht="12.75" hidden="false" customHeight="false" outlineLevel="0" collapsed="false">
      <c r="A31" s="25" t="n">
        <v>28</v>
      </c>
      <c r="B31" s="26"/>
      <c r="C31" s="27"/>
      <c r="D31" s="26"/>
      <c r="E31" s="27"/>
      <c r="F31" s="26"/>
      <c r="G31" s="27"/>
      <c r="H31" s="26"/>
      <c r="J31" s="26"/>
      <c r="L31" s="25" t="n">
        <f aca="false">SUM(B31:K31)</f>
        <v>0</v>
      </c>
    </row>
    <row r="32" customFormat="false" ht="12.75" hidden="false" customHeight="false" outlineLevel="0" collapsed="false">
      <c r="A32" s="25" t="n">
        <v>29</v>
      </c>
      <c r="B32" s="26"/>
      <c r="C32" s="27"/>
      <c r="D32" s="26"/>
      <c r="E32" s="27"/>
      <c r="F32" s="26"/>
      <c r="G32" s="27"/>
      <c r="H32" s="26"/>
      <c r="J32" s="26"/>
      <c r="L32" s="25" t="n">
        <f aca="false">SUM(B32:K32)</f>
        <v>0</v>
      </c>
    </row>
    <row r="33" customFormat="false" ht="12.75" hidden="false" customHeight="false" outlineLevel="0" collapsed="false">
      <c r="A33" s="25" t="n">
        <v>30</v>
      </c>
      <c r="B33" s="26"/>
      <c r="C33" s="27"/>
      <c r="D33" s="26"/>
      <c r="E33" s="27"/>
      <c r="F33" s="26"/>
      <c r="G33" s="27"/>
      <c r="H33" s="26"/>
      <c r="J33" s="26"/>
      <c r="L33" s="25" t="n">
        <f aca="false">SUM(B33:K33)</f>
        <v>0</v>
      </c>
    </row>
    <row r="34" customFormat="false" ht="12.75" hidden="false" customHeight="false" outlineLevel="0" collapsed="false">
      <c r="A34" s="25" t="n">
        <v>31</v>
      </c>
      <c r="B34" s="26"/>
      <c r="C34" s="27"/>
      <c r="D34" s="26"/>
      <c r="E34" s="27"/>
      <c r="F34" s="26"/>
      <c r="G34" s="27"/>
      <c r="H34" s="26"/>
      <c r="J34" s="26"/>
      <c r="L34" s="25" t="n">
        <f aca="false">SUM(B34:K34)</f>
        <v>0</v>
      </c>
    </row>
    <row r="35" customFormat="false" ht="12.75" hidden="false" customHeight="false" outlineLevel="0" collapsed="false">
      <c r="A35" s="25" t="n">
        <v>32</v>
      </c>
      <c r="B35" s="26"/>
      <c r="C35" s="27"/>
      <c r="D35" s="26"/>
      <c r="E35" s="27"/>
      <c r="F35" s="26"/>
      <c r="G35" s="27"/>
      <c r="H35" s="26"/>
      <c r="J35" s="26"/>
      <c r="L35" s="25" t="n">
        <f aca="false">SUM(B35:K35)</f>
        <v>0</v>
      </c>
    </row>
    <row r="36" customFormat="false" ht="12.75" hidden="false" customHeight="false" outlineLevel="0" collapsed="false">
      <c r="A36" s="25" t="n">
        <v>33</v>
      </c>
      <c r="B36" s="26"/>
      <c r="C36" s="27"/>
      <c r="D36" s="26"/>
      <c r="E36" s="27"/>
      <c r="F36" s="26"/>
      <c r="G36" s="27"/>
      <c r="H36" s="26"/>
      <c r="J36" s="26"/>
      <c r="L36" s="25" t="n">
        <f aca="false">SUM(B36:K36)</f>
        <v>0</v>
      </c>
    </row>
    <row r="37" customFormat="false" ht="12.75" hidden="false" customHeight="false" outlineLevel="0" collapsed="false">
      <c r="A37" s="25" t="n">
        <v>34</v>
      </c>
      <c r="B37" s="26"/>
      <c r="C37" s="27"/>
      <c r="D37" s="26"/>
      <c r="E37" s="27"/>
      <c r="F37" s="26"/>
      <c r="G37" s="27"/>
      <c r="H37" s="26"/>
      <c r="J37" s="26"/>
      <c r="L37" s="25" t="n">
        <f aca="false">SUM(B37:K37)</f>
        <v>0</v>
      </c>
    </row>
    <row r="38" customFormat="false" ht="12.75" hidden="false" customHeight="false" outlineLevel="0" collapsed="false">
      <c r="A38" s="25" t="n">
        <v>35</v>
      </c>
      <c r="B38" s="26"/>
      <c r="C38" s="27"/>
      <c r="D38" s="26"/>
      <c r="E38" s="27"/>
      <c r="F38" s="26"/>
      <c r="G38" s="27"/>
      <c r="H38" s="26"/>
      <c r="J38" s="26"/>
      <c r="L38" s="25" t="n">
        <f aca="false">SUM(B38:K38)</f>
        <v>0</v>
      </c>
    </row>
    <row r="39" customFormat="false" ht="12.75" hidden="false" customHeight="false" outlineLevel="0" collapsed="false">
      <c r="A39" s="25" t="n">
        <v>36</v>
      </c>
      <c r="B39" s="26"/>
      <c r="C39" s="27"/>
      <c r="E39" s="27"/>
      <c r="F39" s="31"/>
      <c r="G39" s="27"/>
      <c r="H39" s="31"/>
      <c r="J39" s="31"/>
      <c r="L39" s="25" t="n">
        <f aca="false">SUM(B39:K39)</f>
        <v>0</v>
      </c>
    </row>
    <row r="40" customFormat="false" ht="12.75" hidden="false" customHeight="false" outlineLevel="0" collapsed="false">
      <c r="A40" s="32" t="s">
        <v>137</v>
      </c>
      <c r="B40" s="32" t="n">
        <f aca="false">SUM(B5:B39)</f>
        <v>298</v>
      </c>
      <c r="C40" s="32" t="n">
        <f aca="false">SUM(C5:C39)</f>
        <v>315</v>
      </c>
      <c r="D40" s="32" t="n">
        <f aca="false">SUM(D5:D39)</f>
        <v>534</v>
      </c>
      <c r="E40" s="32" t="n">
        <f aca="false">SUM(E5:E39)</f>
        <v>388</v>
      </c>
      <c r="F40" s="32" t="n">
        <f aca="false">SUM(F5:F39)</f>
        <v>319</v>
      </c>
      <c r="G40" s="32" t="n">
        <f aca="false">SUM(G5:G39)</f>
        <v>437</v>
      </c>
      <c r="H40" s="32" t="n">
        <f aca="false">SUM(H5:H39)</f>
        <v>314</v>
      </c>
      <c r="I40" s="32" t="n">
        <f aca="false">SUM(I5:I39)</f>
        <v>481</v>
      </c>
      <c r="J40" s="32" t="n">
        <f aca="false">SUM(J5:J39)</f>
        <v>231</v>
      </c>
      <c r="K40" s="32" t="n">
        <f aca="false">SUM(K5:K39)</f>
        <v>530</v>
      </c>
      <c r="L40" s="33" t="n">
        <f aca="false">SUM(L5:L39)</f>
        <v>3847</v>
      </c>
    </row>
    <row r="42" customFormat="false" ht="12.75" hidden="false" customHeight="false" outlineLevel="0" collapsed="false">
      <c r="B42" s="1" t="s">
        <v>139</v>
      </c>
      <c r="C42" s="1" t="n">
        <f aca="false">SUM(C40,E40,G40,I40,K40)</f>
        <v>2151</v>
      </c>
    </row>
    <row r="43" customFormat="false" ht="12.75" hidden="false" customHeight="false" outlineLevel="0" collapsed="false">
      <c r="C43" s="1" t="n">
        <f aca="false">SUM(B40,D40,F40,H40,J40)</f>
        <v>1696</v>
      </c>
    </row>
    <row r="1048576" customFormat="false" ht="12.8" hidden="false" customHeight="false" outlineLevel="0" collapsed="false"/>
  </sheetData>
  <mergeCells count="6">
    <mergeCell ref="A3:A4"/>
    <mergeCell ref="B3:C3"/>
    <mergeCell ref="D3:E3"/>
    <mergeCell ref="F3:G3"/>
    <mergeCell ref="H3:I3"/>
    <mergeCell ref="J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0" activeCellId="0" sqref="E10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10" min="2" style="34" width="8.85"/>
    <col collapsed="false" customWidth="true" hidden="false" outlineLevel="0" max="11" min="11" style="34" width="10.42"/>
  </cols>
  <sheetData>
    <row r="1" customFormat="false" ht="12.75" hidden="false" customHeight="false" outlineLevel="0" collapsed="false">
      <c r="A1" s="1" t="s">
        <v>140</v>
      </c>
    </row>
    <row r="3" customFormat="false" ht="12.75" hidden="false" customHeight="true" outlineLevel="0" collapsed="false">
      <c r="A3" s="18" t="s">
        <v>133</v>
      </c>
      <c r="B3" s="35" t="s">
        <v>87</v>
      </c>
      <c r="C3" s="35"/>
      <c r="D3" s="19" t="s">
        <v>141</v>
      </c>
      <c r="E3" s="19"/>
      <c r="F3" s="19" t="s">
        <v>135</v>
      </c>
      <c r="G3" s="19"/>
      <c r="H3" s="19" t="s">
        <v>142</v>
      </c>
      <c r="I3" s="19"/>
      <c r="J3" s="19" t="s">
        <v>101</v>
      </c>
      <c r="K3" s="19"/>
      <c r="L3" s="26"/>
    </row>
    <row r="4" customFormat="false" ht="12.75" hidden="false" customHeight="false" outlineLevel="0" collapsed="false">
      <c r="A4" s="18"/>
      <c r="B4" s="36" t="s">
        <v>138</v>
      </c>
      <c r="C4" s="37" t="s">
        <v>139</v>
      </c>
      <c r="D4" s="36" t="s">
        <v>138</v>
      </c>
      <c r="E4" s="37" t="s">
        <v>139</v>
      </c>
      <c r="F4" s="36" t="s">
        <v>138</v>
      </c>
      <c r="G4" s="37" t="s">
        <v>139</v>
      </c>
      <c r="H4" s="36" t="s">
        <v>138</v>
      </c>
      <c r="I4" s="38" t="s">
        <v>139</v>
      </c>
      <c r="J4" s="36" t="s">
        <v>138</v>
      </c>
      <c r="K4" s="38" t="s">
        <v>139</v>
      </c>
      <c r="L4" s="26"/>
    </row>
    <row r="5" customFormat="false" ht="12.75" hidden="false" customHeight="false" outlineLevel="0" collapsed="false">
      <c r="A5" s="25" t="n">
        <v>2</v>
      </c>
      <c r="B5" s="39" t="n">
        <f aca="false">('Bijlage 5a'!B5/(SUM('Bijlage 5a'!B$5:B$31)))</f>
        <v>0.181208053691275</v>
      </c>
      <c r="C5" s="40" t="n">
        <f aca="false">('Bijlage 5a'!C5/(SUM('Bijlage 5a'!C$5:C$31)))</f>
        <v>0.0285714285714286</v>
      </c>
      <c r="D5" s="39" t="n">
        <f aca="false">('Bijlage 5a'!D5/(SUM('Bijlage 5a'!D$5:D$31)))</f>
        <v>0</v>
      </c>
      <c r="E5" s="40" t="n">
        <f aca="false">('Bijlage 5a'!E5/(SUM('Bijlage 5a'!E$5:E$31)))</f>
        <v>0</v>
      </c>
      <c r="F5" s="39" t="n">
        <f aca="false">('Bijlage 5a'!F5/(SUM('Bijlage 5a'!F$5:F$31)))</f>
        <v>0.0282131661442006</v>
      </c>
      <c r="G5" s="40" t="n">
        <f aca="false">('Bijlage 5a'!G5/(SUM('Bijlage 5a'!G$5:G$31)))</f>
        <v>0.034324942791762</v>
      </c>
      <c r="H5" s="39" t="n">
        <f aca="false">('Bijlage 5a'!H5/(SUM('Bijlage 5a'!H$5:H$31)))</f>
        <v>0.0286624203821656</v>
      </c>
      <c r="I5" s="40" t="n">
        <f aca="false">('Bijlage 5a'!I5/(SUM('Bijlage 5a'!I$5:I$31)))</f>
        <v>0.0644490644490645</v>
      </c>
      <c r="J5" s="39" t="n">
        <f aca="false">('Bijlage 5a'!J5/(SUM('Bijlage 5a'!J$5:J$31)))</f>
        <v>0.0216450216450216</v>
      </c>
      <c r="K5" s="40" t="n">
        <f aca="false">('Bijlage 5a'!K5/(SUM('Bijlage 5a'!K$5:K$31)))</f>
        <v>0.0169811320754717</v>
      </c>
      <c r="L5" s="26"/>
      <c r="N5" s="34"/>
    </row>
    <row r="6" customFormat="false" ht="12.75" hidden="false" customHeight="false" outlineLevel="0" collapsed="false">
      <c r="A6" s="25" t="n">
        <v>3</v>
      </c>
      <c r="B6" s="41" t="n">
        <f aca="false">('Bijlage 5a'!B6/(SUM('Bijlage 5a'!B$5:B$31)))</f>
        <v>0.0604026845637584</v>
      </c>
      <c r="C6" s="42" t="n">
        <f aca="false">('Bijlage 5a'!C6/(SUM('Bijlage 5a'!C$5:C$31)))</f>
        <v>0.0920634920634921</v>
      </c>
      <c r="D6" s="41" t="n">
        <f aca="false">('Bijlage 5a'!D6/(SUM('Bijlage 5a'!D$5:D$31)))</f>
        <v>0.00561797752808989</v>
      </c>
      <c r="E6" s="42" t="n">
        <f aca="false">('Bijlage 5a'!E6/(SUM('Bijlage 5a'!E$5:E$31)))</f>
        <v>0.0231958762886598</v>
      </c>
      <c r="F6" s="41" t="n">
        <f aca="false">('Bijlage 5a'!F6/(SUM('Bijlage 5a'!F$5:F$31)))</f>
        <v>0.0125391849529781</v>
      </c>
      <c r="G6" s="42" t="n">
        <f aca="false">('Bijlage 5a'!G6/(SUM('Bijlage 5a'!G$5:G$31)))</f>
        <v>0.0366132723112128</v>
      </c>
      <c r="H6" s="41" t="n">
        <f aca="false">('Bijlage 5a'!H6/(SUM('Bijlage 5a'!H$5:H$31)))</f>
        <v>0.0254777070063694</v>
      </c>
      <c r="I6" s="42" t="n">
        <f aca="false">('Bijlage 5a'!I6/(SUM('Bijlage 5a'!I$5:I$31)))</f>
        <v>0.0415800415800416</v>
      </c>
      <c r="J6" s="41" t="n">
        <f aca="false">('Bijlage 5a'!J6/(SUM('Bijlage 5a'!J$5:J$31)))</f>
        <v>0.0346320346320346</v>
      </c>
      <c r="K6" s="42" t="n">
        <f aca="false">('Bijlage 5a'!K6/(SUM('Bijlage 5a'!K$5:K$31)))</f>
        <v>0.0377358490566038</v>
      </c>
      <c r="L6" s="26"/>
      <c r="N6" s="34"/>
    </row>
    <row r="7" customFormat="false" ht="12.75" hidden="false" customHeight="false" outlineLevel="0" collapsed="false">
      <c r="A7" s="25" t="n">
        <v>4</v>
      </c>
      <c r="B7" s="41" t="n">
        <f aca="false">('Bijlage 5a'!B7/(SUM('Bijlage 5a'!B$5:B$31)))</f>
        <v>0</v>
      </c>
      <c r="C7" s="42" t="n">
        <f aca="false">('Bijlage 5a'!C7/(SUM('Bijlage 5a'!C$5:C$31)))</f>
        <v>0.0698412698412698</v>
      </c>
      <c r="D7" s="41" t="n">
        <f aca="false">('Bijlage 5a'!D7/(SUM('Bijlage 5a'!D$5:D$31)))</f>
        <v>0.00374531835205993</v>
      </c>
      <c r="E7" s="42" t="n">
        <f aca="false">('Bijlage 5a'!E7/(SUM('Bijlage 5a'!E$5:E$31)))</f>
        <v>0.0283505154639175</v>
      </c>
      <c r="F7" s="41" t="n">
        <f aca="false">('Bijlage 5a'!F7/(SUM('Bijlage 5a'!F$5:F$31)))</f>
        <v>0.0125391849529781</v>
      </c>
      <c r="G7" s="42" t="n">
        <f aca="false">('Bijlage 5a'!G7/(SUM('Bijlage 5a'!G$5:G$31)))</f>
        <v>0.0205949656750572</v>
      </c>
      <c r="H7" s="41" t="n">
        <f aca="false">('Bijlage 5a'!H7/(SUM('Bijlage 5a'!H$5:H$31)))</f>
        <v>0.0573248407643312</v>
      </c>
      <c r="I7" s="42" t="n">
        <f aca="false">('Bijlage 5a'!I7/(SUM('Bijlage 5a'!I$5:I$31)))</f>
        <v>0.0207900207900208</v>
      </c>
      <c r="J7" s="41" t="n">
        <f aca="false">('Bijlage 5a'!J7/(SUM('Bijlage 5a'!J$5:J$31)))</f>
        <v>0.00865800865800866</v>
      </c>
      <c r="K7" s="42" t="n">
        <f aca="false">('Bijlage 5a'!K7/(SUM('Bijlage 5a'!K$5:K$31)))</f>
        <v>0.0169811320754717</v>
      </c>
      <c r="L7" s="26"/>
      <c r="N7" s="34"/>
    </row>
    <row r="8" customFormat="false" ht="12.75" hidden="false" customHeight="false" outlineLevel="0" collapsed="false">
      <c r="A8" s="25" t="n">
        <v>5</v>
      </c>
      <c r="B8" s="41" t="n">
        <f aca="false">('Bijlage 5a'!B8/(SUM('Bijlage 5a'!B$5:B$31)))</f>
        <v>0.00335570469798658</v>
      </c>
      <c r="C8" s="42" t="n">
        <f aca="false">('Bijlage 5a'!C8/(SUM('Bijlage 5a'!C$5:C$31)))</f>
        <v>0.120634920634921</v>
      </c>
      <c r="D8" s="41" t="n">
        <f aca="false">('Bijlage 5a'!D8/(SUM('Bijlage 5a'!D$5:D$31)))</f>
        <v>0.00749063670411985</v>
      </c>
      <c r="E8" s="42" t="n">
        <f aca="false">('Bijlage 5a'!E8/(SUM('Bijlage 5a'!E$5:E$31)))</f>
        <v>0.100515463917526</v>
      </c>
      <c r="F8" s="41" t="n">
        <f aca="false">('Bijlage 5a'!F8/(SUM('Bijlage 5a'!F$5:F$31)))</f>
        <v>0.0219435736677116</v>
      </c>
      <c r="G8" s="42" t="n">
        <f aca="false">('Bijlage 5a'!G8/(SUM('Bijlage 5a'!G$5:G$31)))</f>
        <v>0.0549199084668192</v>
      </c>
      <c r="H8" s="41" t="n">
        <f aca="false">('Bijlage 5a'!H8/(SUM('Bijlage 5a'!H$5:H$31)))</f>
        <v>0.035031847133758</v>
      </c>
      <c r="I8" s="42" t="n">
        <f aca="false">('Bijlage 5a'!I8/(SUM('Bijlage 5a'!I$5:I$31)))</f>
        <v>0.0810810810810811</v>
      </c>
      <c r="J8" s="41" t="n">
        <f aca="false">('Bijlage 5a'!J8/(SUM('Bijlage 5a'!J$5:J$31)))</f>
        <v>0.00432900432900433</v>
      </c>
      <c r="K8" s="42" t="n">
        <f aca="false">('Bijlage 5a'!K8/(SUM('Bijlage 5a'!K$5:K$31)))</f>
        <v>0.0415094339622642</v>
      </c>
      <c r="L8" s="26"/>
      <c r="N8" s="34"/>
    </row>
    <row r="9" customFormat="false" ht="12.75" hidden="false" customHeight="false" outlineLevel="0" collapsed="false">
      <c r="A9" s="25" t="n">
        <v>6</v>
      </c>
      <c r="B9" s="41" t="n">
        <f aca="false">('Bijlage 5a'!B9/(SUM('Bijlage 5a'!B$5:B$31)))</f>
        <v>0.0402684563758389</v>
      </c>
      <c r="C9" s="42" t="n">
        <f aca="false">('Bijlage 5a'!C9/(SUM('Bijlage 5a'!C$5:C$31)))</f>
        <v>0.114285714285714</v>
      </c>
      <c r="D9" s="41" t="n">
        <f aca="false">('Bijlage 5a'!D9/(SUM('Bijlage 5a'!D$5:D$31)))</f>
        <v>0.0280898876404494</v>
      </c>
      <c r="E9" s="42" t="n">
        <f aca="false">('Bijlage 5a'!E9/(SUM('Bijlage 5a'!E$5:E$31)))</f>
        <v>0.095360824742268</v>
      </c>
      <c r="F9" s="41" t="n">
        <f aca="false">('Bijlage 5a'!F9/(SUM('Bijlage 5a'!F$5:F$31)))</f>
        <v>0.0313479623824451</v>
      </c>
      <c r="G9" s="42" t="n">
        <f aca="false">('Bijlage 5a'!G9/(SUM('Bijlage 5a'!G$5:G$31)))</f>
        <v>0.0961098398169336</v>
      </c>
      <c r="H9" s="41" t="n">
        <f aca="false">('Bijlage 5a'!H9/(SUM('Bijlage 5a'!H$5:H$31)))</f>
        <v>0.0222929936305732</v>
      </c>
      <c r="I9" s="42" t="n">
        <f aca="false">('Bijlage 5a'!I9/(SUM('Bijlage 5a'!I$5:I$31)))</f>
        <v>0.0810810810810811</v>
      </c>
      <c r="J9" s="41" t="n">
        <f aca="false">('Bijlage 5a'!J9/(SUM('Bijlage 5a'!J$5:J$31)))</f>
        <v>0.012987012987013</v>
      </c>
      <c r="K9" s="42" t="n">
        <f aca="false">('Bijlage 5a'!K9/(SUM('Bijlage 5a'!K$5:K$31)))</f>
        <v>0.0886792452830189</v>
      </c>
      <c r="L9" s="26"/>
      <c r="N9" s="34"/>
    </row>
    <row r="10" customFormat="false" ht="12.75" hidden="false" customHeight="false" outlineLevel="0" collapsed="false">
      <c r="A10" s="25" t="n">
        <v>7</v>
      </c>
      <c r="B10" s="41" t="n">
        <f aca="false">('Bijlage 5a'!B10/(SUM('Bijlage 5a'!B$5:B$31)))</f>
        <v>0.0369127516778524</v>
      </c>
      <c r="C10" s="42" t="n">
        <f aca="false">('Bijlage 5a'!C10/(SUM('Bijlage 5a'!C$5:C$31)))</f>
        <v>0.136507936507937</v>
      </c>
      <c r="D10" s="41" t="n">
        <f aca="false">('Bijlage 5a'!D10/(SUM('Bijlage 5a'!D$5:D$31)))</f>
        <v>0.0767790262172285</v>
      </c>
      <c r="E10" s="42" t="n">
        <f aca="false">('Bijlage 5a'!E10/(SUM('Bijlage 5a'!E$5:E$31)))</f>
        <v>0.126288659793814</v>
      </c>
      <c r="F10" s="41" t="n">
        <f aca="false">('Bijlage 5a'!F10/(SUM('Bijlage 5a'!F$5:F$31)))</f>
        <v>0.00940438871473354</v>
      </c>
      <c r="G10" s="42" t="n">
        <f aca="false">('Bijlage 5a'!G10/(SUM('Bijlage 5a'!G$5:G$31)))</f>
        <v>0.0983981693363844</v>
      </c>
      <c r="H10" s="41" t="n">
        <f aca="false">('Bijlage 5a'!H10/(SUM('Bijlage 5a'!H$5:H$31)))</f>
        <v>0.0318471337579618</v>
      </c>
      <c r="I10" s="42" t="n">
        <f aca="false">('Bijlage 5a'!I10/(SUM('Bijlage 5a'!I$5:I$31)))</f>
        <v>0.0977130977130977</v>
      </c>
      <c r="J10" s="41" t="n">
        <f aca="false">('Bijlage 5a'!J10/(SUM('Bijlage 5a'!J$5:J$31)))</f>
        <v>0.012987012987013</v>
      </c>
      <c r="K10" s="42" t="n">
        <f aca="false">('Bijlage 5a'!K10/(SUM('Bijlage 5a'!K$5:K$31)))</f>
        <v>0.145283018867925</v>
      </c>
      <c r="L10" s="26"/>
      <c r="N10" s="34"/>
    </row>
    <row r="11" customFormat="false" ht="12.75" hidden="false" customHeight="false" outlineLevel="0" collapsed="false">
      <c r="A11" s="25" t="n">
        <v>8</v>
      </c>
      <c r="B11" s="41" t="n">
        <f aca="false">('Bijlage 5a'!B11/(SUM('Bijlage 5a'!B$5:B$31)))</f>
        <v>0.0369127516778524</v>
      </c>
      <c r="C11" s="42" t="n">
        <f aca="false">('Bijlage 5a'!C11/(SUM('Bijlage 5a'!C$5:C$31)))</f>
        <v>0.13968253968254</v>
      </c>
      <c r="D11" s="41" t="n">
        <f aca="false">('Bijlage 5a'!D11/(SUM('Bijlage 5a'!D$5:D$31)))</f>
        <v>0.170411985018727</v>
      </c>
      <c r="E11" s="42" t="n">
        <f aca="false">('Bijlage 5a'!E11/(SUM('Bijlage 5a'!E$5:E$31)))</f>
        <v>0.15979381443299</v>
      </c>
      <c r="F11" s="41" t="n">
        <f aca="false">('Bijlage 5a'!F11/(SUM('Bijlage 5a'!F$5:F$31)))</f>
        <v>0.0407523510971787</v>
      </c>
      <c r="G11" s="42" t="n">
        <f aca="false">('Bijlage 5a'!G11/(SUM('Bijlage 5a'!G$5:G$31)))</f>
        <v>0.0961098398169336</v>
      </c>
      <c r="H11" s="41" t="n">
        <f aca="false">('Bijlage 5a'!H11/(SUM('Bijlage 5a'!H$5:H$31)))</f>
        <v>0.0191082802547771</v>
      </c>
      <c r="I11" s="42" t="n">
        <f aca="false">('Bijlage 5a'!I11/(SUM('Bijlage 5a'!I$5:I$31)))</f>
        <v>0.0748440748440749</v>
      </c>
      <c r="J11" s="41" t="n">
        <f aca="false">('Bijlage 5a'!J11/(SUM('Bijlage 5a'!J$5:J$31)))</f>
        <v>0</v>
      </c>
      <c r="K11" s="42" t="n">
        <f aca="false">('Bijlage 5a'!K11/(SUM('Bijlage 5a'!K$5:K$31)))</f>
        <v>0.173584905660377</v>
      </c>
      <c r="L11" s="26"/>
      <c r="N11" s="34"/>
    </row>
    <row r="12" customFormat="false" ht="12.75" hidden="false" customHeight="false" outlineLevel="0" collapsed="false">
      <c r="A12" s="25" t="n">
        <v>9</v>
      </c>
      <c r="B12" s="41" t="n">
        <f aca="false">('Bijlage 5a'!B12/(SUM('Bijlage 5a'!B$5:B$31)))</f>
        <v>0.10738255033557</v>
      </c>
      <c r="C12" s="42" t="n">
        <f aca="false">('Bijlage 5a'!C12/(SUM('Bijlage 5a'!C$5:C$31)))</f>
        <v>0.13968253968254</v>
      </c>
      <c r="D12" s="41" t="n">
        <f aca="false">('Bijlage 5a'!D12/(SUM('Bijlage 5a'!D$5:D$31)))</f>
        <v>0.0805243445692884</v>
      </c>
      <c r="E12" s="42" t="n">
        <f aca="false">('Bijlage 5a'!E12/(SUM('Bijlage 5a'!E$5:E$31)))</f>
        <v>0.188144329896907</v>
      </c>
      <c r="F12" s="41" t="n">
        <f aca="false">('Bijlage 5a'!F12/(SUM('Bijlage 5a'!F$5:F$31)))</f>
        <v>0.0282131661442006</v>
      </c>
      <c r="G12" s="42" t="n">
        <f aca="false">('Bijlage 5a'!G12/(SUM('Bijlage 5a'!G$5:G$31)))</f>
        <v>0.178489702517162</v>
      </c>
      <c r="H12" s="41" t="n">
        <f aca="false">('Bijlage 5a'!H12/(SUM('Bijlage 5a'!H$5:H$31)))</f>
        <v>0.00955414012738854</v>
      </c>
      <c r="I12" s="42" t="n">
        <f aca="false">('Bijlage 5a'!I12/(SUM('Bijlage 5a'!I$5:I$31)))</f>
        <v>0.0706860706860707</v>
      </c>
      <c r="J12" s="41" t="n">
        <f aca="false">('Bijlage 5a'!J12/(SUM('Bijlage 5a'!J$5:J$31)))</f>
        <v>0.0216450216450216</v>
      </c>
      <c r="K12" s="42" t="n">
        <f aca="false">('Bijlage 5a'!K12/(SUM('Bijlage 5a'!K$5:K$31)))</f>
        <v>0.133962264150943</v>
      </c>
      <c r="L12" s="26"/>
      <c r="N12" s="34"/>
    </row>
    <row r="13" customFormat="false" ht="12.75" hidden="false" customHeight="false" outlineLevel="0" collapsed="false">
      <c r="A13" s="25" t="n">
        <v>10</v>
      </c>
      <c r="B13" s="41" t="n">
        <f aca="false">('Bijlage 5a'!B13/(SUM('Bijlage 5a'!B$5:B$31)))</f>
        <v>0.100671140939597</v>
      </c>
      <c r="C13" s="42" t="n">
        <f aca="false">('Bijlage 5a'!C13/(SUM('Bijlage 5a'!C$5:C$31)))</f>
        <v>0.0920634920634921</v>
      </c>
      <c r="D13" s="41" t="n">
        <f aca="false">('Bijlage 5a'!D13/(SUM('Bijlage 5a'!D$5:D$31)))</f>
        <v>0.0786516853932584</v>
      </c>
      <c r="E13" s="42" t="n">
        <f aca="false">('Bijlage 5a'!E13/(SUM('Bijlage 5a'!E$5:E$31)))</f>
        <v>0.141752577319588</v>
      </c>
      <c r="F13" s="41" t="n">
        <f aca="false">('Bijlage 5a'!F13/(SUM('Bijlage 5a'!F$5:F$31)))</f>
        <v>0.0344827586206897</v>
      </c>
      <c r="G13" s="42" t="n">
        <f aca="false">('Bijlage 5a'!G13/(SUM('Bijlage 5a'!G$5:G$31)))</f>
        <v>0.162471395881007</v>
      </c>
      <c r="H13" s="41" t="n">
        <f aca="false">('Bijlage 5a'!H13/(SUM('Bijlage 5a'!H$5:H$31)))</f>
        <v>0.0159235668789809</v>
      </c>
      <c r="I13" s="42" t="n">
        <f aca="false">('Bijlage 5a'!I13/(SUM('Bijlage 5a'!I$5:I$31)))</f>
        <v>0.0914760914760915</v>
      </c>
      <c r="J13" s="41" t="n">
        <f aca="false">('Bijlage 5a'!J13/(SUM('Bijlage 5a'!J$5:J$31)))</f>
        <v>0.025974025974026</v>
      </c>
      <c r="K13" s="42" t="n">
        <f aca="false">('Bijlage 5a'!K13/(SUM('Bijlage 5a'!K$5:K$31)))</f>
        <v>0.126415094339623</v>
      </c>
      <c r="L13" s="26"/>
      <c r="N13" s="34"/>
    </row>
    <row r="14" customFormat="false" ht="12.75" hidden="false" customHeight="false" outlineLevel="0" collapsed="false">
      <c r="A14" s="25" t="n">
        <v>11</v>
      </c>
      <c r="B14" s="41" t="n">
        <f aca="false">('Bijlage 5a'!B14/(SUM('Bijlage 5a'!B$5:B$31)))</f>
        <v>0.130872483221477</v>
      </c>
      <c r="C14" s="42" t="n">
        <f aca="false">('Bijlage 5a'!C14/(SUM('Bijlage 5a'!C$5:C$31)))</f>
        <v>0.0349206349206349</v>
      </c>
      <c r="D14" s="41" t="n">
        <f aca="false">('Bijlage 5a'!D14/(SUM('Bijlage 5a'!D$5:D$31)))</f>
        <v>0.048689138576779</v>
      </c>
      <c r="E14" s="42" t="n">
        <f aca="false">('Bijlage 5a'!E14/(SUM('Bijlage 5a'!E$5:E$31)))</f>
        <v>0.0798969072164948</v>
      </c>
      <c r="F14" s="41" t="n">
        <f aca="false">('Bijlage 5a'!F14/(SUM('Bijlage 5a'!F$5:F$31)))</f>
        <v>0.0376175548589342</v>
      </c>
      <c r="G14" s="42" t="n">
        <f aca="false">('Bijlage 5a'!G14/(SUM('Bijlage 5a'!G$5:G$31)))</f>
        <v>0.135011441647597</v>
      </c>
      <c r="H14" s="41" t="n">
        <f aca="false">('Bijlage 5a'!H14/(SUM('Bijlage 5a'!H$5:H$31)))</f>
        <v>0.0286624203821656</v>
      </c>
      <c r="I14" s="42" t="n">
        <f aca="false">('Bijlage 5a'!I14/(SUM('Bijlage 5a'!I$5:I$31)))</f>
        <v>0.116424116424116</v>
      </c>
      <c r="J14" s="41" t="n">
        <f aca="false">('Bijlage 5a'!J14/(SUM('Bijlage 5a'!J$5:J$31)))</f>
        <v>0.0216450216450216</v>
      </c>
      <c r="K14" s="42" t="n">
        <f aca="false">('Bijlage 5a'!K14/(SUM('Bijlage 5a'!K$5:K$31)))</f>
        <v>0.0943396226415094</v>
      </c>
      <c r="L14" s="26"/>
      <c r="N14" s="34"/>
    </row>
    <row r="15" customFormat="false" ht="12.75" hidden="false" customHeight="false" outlineLevel="0" collapsed="false">
      <c r="A15" s="25" t="n">
        <v>12</v>
      </c>
      <c r="B15" s="41" t="n">
        <f aca="false">('Bijlage 5a'!B15/(SUM('Bijlage 5a'!B$5:B$31)))</f>
        <v>0.0771812080536913</v>
      </c>
      <c r="C15" s="42" t="n">
        <f aca="false">('Bijlage 5a'!C15/(SUM('Bijlage 5a'!C$5:C$31)))</f>
        <v>0.0190476190476191</v>
      </c>
      <c r="D15" s="41" t="n">
        <f aca="false">('Bijlage 5a'!D15/(SUM('Bijlage 5a'!D$5:D$31)))</f>
        <v>0.0842696629213483</v>
      </c>
      <c r="E15" s="42" t="n">
        <f aca="false">('Bijlage 5a'!E15/(SUM('Bijlage 5a'!E$5:E$31)))</f>
        <v>0.0438144329896907</v>
      </c>
      <c r="F15" s="41" t="n">
        <f aca="false">('Bijlage 5a'!F15/(SUM('Bijlage 5a'!F$5:F$31)))</f>
        <v>0.0658307210031348</v>
      </c>
      <c r="G15" s="42" t="n">
        <f aca="false">('Bijlage 5a'!G15/(SUM('Bijlage 5a'!G$5:G$31)))</f>
        <v>0.0480549199084668</v>
      </c>
      <c r="H15" s="41" t="n">
        <f aca="false">('Bijlage 5a'!H15/(SUM('Bijlage 5a'!H$5:H$31)))</f>
        <v>0.0477707006369427</v>
      </c>
      <c r="I15" s="42" t="n">
        <f aca="false">('Bijlage 5a'!I15/(SUM('Bijlage 5a'!I$5:I$31)))</f>
        <v>0.0977130977130977</v>
      </c>
      <c r="J15" s="41" t="n">
        <f aca="false">('Bijlage 5a'!J15/(SUM('Bijlage 5a'!J$5:J$31)))</f>
        <v>0.0735930735930736</v>
      </c>
      <c r="K15" s="42" t="n">
        <f aca="false">('Bijlage 5a'!K15/(SUM('Bijlage 5a'!K$5:K$31)))</f>
        <v>0.0660377358490566</v>
      </c>
      <c r="L15" s="26"/>
      <c r="N15" s="34"/>
    </row>
    <row r="16" customFormat="false" ht="12.75" hidden="false" customHeight="false" outlineLevel="0" collapsed="false">
      <c r="A16" s="25" t="n">
        <v>13</v>
      </c>
      <c r="B16" s="41" t="n">
        <f aca="false">('Bijlage 5a'!B16/(SUM('Bijlage 5a'!B$5:B$31)))</f>
        <v>0.0436241610738255</v>
      </c>
      <c r="C16" s="42" t="n">
        <f aca="false">('Bijlage 5a'!C16/(SUM('Bijlage 5a'!C$5:C$31)))</f>
        <v>0.0126984126984127</v>
      </c>
      <c r="D16" s="41" t="n">
        <f aca="false">('Bijlage 5a'!D16/(SUM('Bijlage 5a'!D$5:D$31)))</f>
        <v>0.0917602996254682</v>
      </c>
      <c r="E16" s="42" t="n">
        <f aca="false">('Bijlage 5a'!E16/(SUM('Bijlage 5a'!E$5:E$31)))</f>
        <v>0.0128865979381443</v>
      </c>
      <c r="F16" s="41" t="n">
        <f aca="false">('Bijlage 5a'!F16/(SUM('Bijlage 5a'!F$5:F$31)))</f>
        <v>0.0940438871473354</v>
      </c>
      <c r="G16" s="42" t="n">
        <f aca="false">('Bijlage 5a'!G16/(SUM('Bijlage 5a'!G$5:G$31)))</f>
        <v>0.0205949656750572</v>
      </c>
      <c r="H16" s="41" t="n">
        <f aca="false">('Bijlage 5a'!H16/(SUM('Bijlage 5a'!H$5:H$31)))</f>
        <v>0.0668789808917197</v>
      </c>
      <c r="I16" s="42" t="n">
        <f aca="false">('Bijlage 5a'!I16/(SUM('Bijlage 5a'!I$5:I$31)))</f>
        <v>0.0727650727650728</v>
      </c>
      <c r="J16" s="41" t="n">
        <f aca="false">('Bijlage 5a'!J16/(SUM('Bijlage 5a'!J$5:J$31)))</f>
        <v>0.125541125541126</v>
      </c>
      <c r="K16" s="42" t="n">
        <f aca="false">('Bijlage 5a'!K16/(SUM('Bijlage 5a'!K$5:K$31)))</f>
        <v>0.0264150943396226</v>
      </c>
      <c r="L16" s="26"/>
      <c r="N16" s="34"/>
    </row>
    <row r="17" customFormat="false" ht="12.75" hidden="false" customHeight="false" outlineLevel="0" collapsed="false">
      <c r="A17" s="25" t="n">
        <v>14</v>
      </c>
      <c r="B17" s="41" t="n">
        <f aca="false">('Bijlage 5a'!B17/(SUM('Bijlage 5a'!B$5:B$31)))</f>
        <v>0.0604026845637584</v>
      </c>
      <c r="C17" s="42"/>
      <c r="D17" s="41" t="n">
        <f aca="false">('Bijlage 5a'!D17/(SUM('Bijlage 5a'!D$5:D$31)))</f>
        <v>0.117977528089888</v>
      </c>
      <c r="E17" s="42"/>
      <c r="F17" s="41" t="n">
        <f aca="false">('Bijlage 5a'!F17/(SUM('Bijlage 5a'!F$5:F$31)))</f>
        <v>0.109717868338558</v>
      </c>
      <c r="G17" s="42" t="n">
        <f aca="false">('Bijlage 5a'!G17/(SUM('Bijlage 5a'!G$5:G$31)))</f>
        <v>0.0091533180778032</v>
      </c>
      <c r="H17" s="41" t="n">
        <f aca="false">('Bijlage 5a'!H17/(SUM('Bijlage 5a'!H$5:H$31)))</f>
        <v>0.0668789808917197</v>
      </c>
      <c r="I17" s="42" t="n">
        <f aca="false">('Bijlage 5a'!I17/(SUM('Bijlage 5a'!I$5:I$31)))</f>
        <v>0.0291060291060291</v>
      </c>
      <c r="J17" s="41" t="n">
        <f aca="false">('Bijlage 5a'!J17/(SUM('Bijlage 5a'!J$5:J$31)))</f>
        <v>0.112554112554113</v>
      </c>
      <c r="K17" s="42" t="n">
        <f aca="false">('Bijlage 5a'!K17/(SUM('Bijlage 5a'!K$5:K$31)))</f>
        <v>0.0226415094339623</v>
      </c>
      <c r="L17" s="26"/>
      <c r="N17" s="34"/>
    </row>
    <row r="18" customFormat="false" ht="12.75" hidden="false" customHeight="false" outlineLevel="0" collapsed="false">
      <c r="A18" s="25" t="n">
        <v>15</v>
      </c>
      <c r="B18" s="41" t="n">
        <f aca="false">('Bijlage 5a'!B18/(SUM('Bijlage 5a'!B$5:B$31)))</f>
        <v>0.0469798657718121</v>
      </c>
      <c r="C18" s="42"/>
      <c r="D18" s="41" t="n">
        <f aca="false">('Bijlage 5a'!D18/(SUM('Bijlage 5a'!D$5:D$31)))</f>
        <v>0.0898876404494382</v>
      </c>
      <c r="E18" s="42"/>
      <c r="F18" s="41" t="n">
        <f aca="false">('Bijlage 5a'!F18/(SUM('Bijlage 5a'!F$5:F$31)))</f>
        <v>0.0940438871473354</v>
      </c>
      <c r="G18" s="42" t="n">
        <f aca="false">('Bijlage 5a'!G18/(SUM('Bijlage 5a'!G$5:G$31)))</f>
        <v>0.0068649885583524</v>
      </c>
      <c r="H18" s="41" t="n">
        <f aca="false">('Bijlage 5a'!H18/(SUM('Bijlage 5a'!H$5:H$31)))</f>
        <v>0.0700636942675159</v>
      </c>
      <c r="I18" s="42" t="n">
        <f aca="false">('Bijlage 5a'!I18/(SUM('Bijlage 5a'!I$5:I$31)))</f>
        <v>0.0374220374220374</v>
      </c>
      <c r="J18" s="41" t="n">
        <f aca="false">('Bijlage 5a'!J18/(SUM('Bijlage 5a'!J$5:J$31)))</f>
        <v>0.16017316017316</v>
      </c>
      <c r="K18" s="42" t="n">
        <f aca="false">('Bijlage 5a'!K18/(SUM('Bijlage 5a'!K$5:K$31)))</f>
        <v>0.00566037735849057</v>
      </c>
      <c r="L18" s="26"/>
      <c r="N18" s="34"/>
    </row>
    <row r="19" customFormat="false" ht="12.75" hidden="false" customHeight="false" outlineLevel="0" collapsed="false">
      <c r="A19" s="25" t="n">
        <v>16</v>
      </c>
      <c r="B19" s="41" t="n">
        <f aca="false">('Bijlage 5a'!B19/(SUM('Bijlage 5a'!B$5:B$31)))</f>
        <v>0.0335570469798658</v>
      </c>
      <c r="C19" s="42"/>
      <c r="D19" s="41" t="n">
        <f aca="false">('Bijlage 5a'!D19/(SUM('Bijlage 5a'!D$5:D$31)))</f>
        <v>0.0580524344569288</v>
      </c>
      <c r="E19" s="42"/>
      <c r="F19" s="41" t="n">
        <f aca="false">('Bijlage 5a'!F19/(SUM('Bijlage 5a'!F$5:F$31)))</f>
        <v>0.128526645768025</v>
      </c>
      <c r="G19" s="42" t="n">
        <f aca="false">('Bijlage 5a'!G19/(SUM('Bijlage 5a'!G$5:G$31)))</f>
        <v>0.0022883295194508</v>
      </c>
      <c r="H19" s="41" t="n">
        <f aca="false">('Bijlage 5a'!H19/(SUM('Bijlage 5a'!H$5:H$31)))</f>
        <v>0.0923566878980892</v>
      </c>
      <c r="I19" s="42" t="n">
        <f aca="false">('Bijlage 5a'!I19/(SUM('Bijlage 5a'!I$5:I$31)))</f>
        <v>0.0145530145530146</v>
      </c>
      <c r="J19" s="41" t="n">
        <f aca="false">('Bijlage 5a'!J19/(SUM('Bijlage 5a'!J$5:J$31)))</f>
        <v>0.147186147186147</v>
      </c>
      <c r="K19" s="42" t="n">
        <f aca="false">('Bijlage 5a'!K19/(SUM('Bijlage 5a'!K$5:K$31)))</f>
        <v>0.00188679245283019</v>
      </c>
      <c r="L19" s="26"/>
      <c r="N19" s="34"/>
    </row>
    <row r="20" customFormat="false" ht="12.75" hidden="false" customHeight="false" outlineLevel="0" collapsed="false">
      <c r="A20" s="25" t="n">
        <v>17</v>
      </c>
      <c r="B20" s="41" t="n">
        <f aca="false">('Bijlage 5a'!B20/(SUM('Bijlage 5a'!B$5:B$31)))</f>
        <v>0.0268456375838926</v>
      </c>
      <c r="C20" s="42"/>
      <c r="D20" s="41" t="n">
        <f aca="false">('Bijlage 5a'!D20/(SUM('Bijlage 5a'!D$5:D$31)))</f>
        <v>0.0280898876404494</v>
      </c>
      <c r="E20" s="42"/>
      <c r="F20" s="41" t="n">
        <f aca="false">('Bijlage 5a'!F20/(SUM('Bijlage 5a'!F$5:F$31)))</f>
        <v>0.125391849529781</v>
      </c>
      <c r="G20" s="42"/>
      <c r="H20" s="41" t="n">
        <f aca="false">('Bijlage 5a'!H20/(SUM('Bijlage 5a'!H$5:H$31)))</f>
        <v>0.121019108280255</v>
      </c>
      <c r="I20" s="42" t="n">
        <f aca="false">('Bijlage 5a'!I20/(SUM('Bijlage 5a'!I$5:I$31)))</f>
        <v>0.00415800415800416</v>
      </c>
      <c r="J20" s="41" t="n">
        <f aca="false">('Bijlage 5a'!J20/(SUM('Bijlage 5a'!J$5:J$31)))</f>
        <v>0.0909090909090909</v>
      </c>
      <c r="K20" s="42" t="n">
        <f aca="false">('Bijlage 5a'!K20/(SUM('Bijlage 5a'!K$5:K$31)))</f>
        <v>0.00188679245283019</v>
      </c>
      <c r="L20" s="26"/>
      <c r="N20" s="34"/>
    </row>
    <row r="21" customFormat="false" ht="12.75" hidden="false" customHeight="false" outlineLevel="0" collapsed="false">
      <c r="A21" s="25" t="n">
        <v>18</v>
      </c>
      <c r="B21" s="41" t="n">
        <f aca="false">('Bijlage 5a'!B21/(SUM('Bijlage 5a'!B$5:B$31)))</f>
        <v>0.00671140939597315</v>
      </c>
      <c r="C21" s="42"/>
      <c r="D21" s="41" t="n">
        <f aca="false">('Bijlage 5a'!D21/(SUM('Bijlage 5a'!D$5:D$31)))</f>
        <v>0.0149812734082397</v>
      </c>
      <c r="E21" s="42"/>
      <c r="F21" s="41" t="n">
        <f aca="false">('Bijlage 5a'!F21/(SUM('Bijlage 5a'!F$5:F$31)))</f>
        <v>0.0689655172413793</v>
      </c>
      <c r="G21" s="42"/>
      <c r="H21" s="41" t="n">
        <f aca="false">('Bijlage 5a'!H21/(SUM('Bijlage 5a'!H$5:H$31)))</f>
        <v>0.101910828025478</v>
      </c>
      <c r="I21" s="42" t="n">
        <f aca="false">('Bijlage 5a'!I21/(SUM('Bijlage 5a'!I$5:I$31)))</f>
        <v>0.00207900207900208</v>
      </c>
      <c r="J21" s="41" t="n">
        <f aca="false">('Bijlage 5a'!J21/(SUM('Bijlage 5a'!J$5:J$31)))</f>
        <v>0.051948051948052</v>
      </c>
      <c r="K21" s="42"/>
      <c r="L21" s="26"/>
      <c r="N21" s="34"/>
    </row>
    <row r="22" customFormat="false" ht="12.75" hidden="false" customHeight="false" outlineLevel="0" collapsed="false">
      <c r="A22" s="25" t="n">
        <v>19</v>
      </c>
      <c r="B22" s="41" t="n">
        <f aca="false">('Bijlage 5a'!B22/(SUM('Bijlage 5a'!B$5:B$31)))</f>
        <v>0.00671140939597315</v>
      </c>
      <c r="C22" s="42"/>
      <c r="D22" s="41" t="n">
        <f aca="false">('Bijlage 5a'!D22/(SUM('Bijlage 5a'!D$5:D$31)))</f>
        <v>0.0112359550561798</v>
      </c>
      <c r="E22" s="42"/>
      <c r="F22" s="41" t="n">
        <f aca="false">('Bijlage 5a'!F22/(SUM('Bijlage 5a'!F$5:F$31)))</f>
        <v>0.0313479623824451</v>
      </c>
      <c r="G22" s="42"/>
      <c r="H22" s="41" t="n">
        <f aca="false">('Bijlage 5a'!H22/(SUM('Bijlage 5a'!H$5:H$31)))</f>
        <v>0.0764331210191083</v>
      </c>
      <c r="I22" s="42" t="n">
        <f aca="false">('Bijlage 5a'!I22/(SUM('Bijlage 5a'!I$5:I$31)))</f>
        <v>0.00207900207900208</v>
      </c>
      <c r="J22" s="41" t="n">
        <f aca="false">('Bijlage 5a'!J22/(SUM('Bijlage 5a'!J$5:J$31)))</f>
        <v>0.025974025974026</v>
      </c>
      <c r="K22" s="42"/>
      <c r="L22" s="26"/>
      <c r="N22" s="34"/>
    </row>
    <row r="23" customFormat="false" ht="12.75" hidden="false" customHeight="false" outlineLevel="0" collapsed="false">
      <c r="A23" s="25" t="n">
        <v>20</v>
      </c>
      <c r="B23" s="41"/>
      <c r="C23" s="42"/>
      <c r="D23" s="41" t="n">
        <f aca="false">('Bijlage 5a'!D23/(SUM('Bijlage 5a'!D$5:D$31)))</f>
        <v>0.00374531835205993</v>
      </c>
      <c r="E23" s="42"/>
      <c r="F23" s="41" t="n">
        <f aca="false">('Bijlage 5a'!F23/(SUM('Bijlage 5a'!F$5:F$31)))</f>
        <v>0.0125391849529781</v>
      </c>
      <c r="G23" s="42"/>
      <c r="H23" s="41" t="n">
        <f aca="false">('Bijlage 5a'!H23/(SUM('Bijlage 5a'!H$5:H$31)))</f>
        <v>0.0382165605095541</v>
      </c>
      <c r="I23" s="42"/>
      <c r="J23" s="41" t="n">
        <f aca="false">('Bijlage 5a'!J23/(SUM('Bijlage 5a'!J$5:J$31)))</f>
        <v>0.0303030303030303</v>
      </c>
      <c r="K23" s="42"/>
      <c r="L23" s="26"/>
      <c r="N23" s="34"/>
    </row>
    <row r="24" customFormat="false" ht="12.75" hidden="false" customHeight="false" outlineLevel="0" collapsed="false">
      <c r="A24" s="25" t="n">
        <v>21</v>
      </c>
      <c r="B24" s="41"/>
      <c r="C24" s="42"/>
      <c r="D24" s="41"/>
      <c r="E24" s="42"/>
      <c r="F24" s="41" t="n">
        <f aca="false">('Bijlage 5a'!F24/(SUM('Bijlage 5a'!F$5:F$31)))</f>
        <v>0.00940438871473354</v>
      </c>
      <c r="G24" s="42"/>
      <c r="H24" s="41" t="n">
        <f aca="false">('Bijlage 5a'!H24/(SUM('Bijlage 5a'!H$5:H$31)))</f>
        <v>0.0191082802547771</v>
      </c>
      <c r="I24" s="42"/>
      <c r="J24" s="41" t="n">
        <f aca="false">('Bijlage 5a'!J24/(SUM('Bijlage 5a'!J$5:J$31)))</f>
        <v>0.012987012987013</v>
      </c>
      <c r="K24" s="42"/>
      <c r="L24" s="26"/>
      <c r="N24" s="34"/>
    </row>
    <row r="25" customFormat="false" ht="12.75" hidden="false" customHeight="false" outlineLevel="0" collapsed="false">
      <c r="A25" s="25" t="n">
        <v>22</v>
      </c>
      <c r="B25" s="41"/>
      <c r="C25" s="42"/>
      <c r="D25" s="41"/>
      <c r="E25" s="42"/>
      <c r="F25" s="41" t="n">
        <f aca="false">('Bijlage 5a'!F25/(SUM('Bijlage 5a'!F$5:F$31)))</f>
        <v>0.00313479623824451</v>
      </c>
      <c r="G25" s="42"/>
      <c r="H25" s="41" t="n">
        <f aca="false">('Bijlage 5a'!H25/(SUM('Bijlage 5a'!H$5:H$31)))</f>
        <v>0.0222929936305732</v>
      </c>
      <c r="I25" s="42"/>
      <c r="J25" s="41" t="n">
        <f aca="false">('Bijlage 5a'!J25/(SUM('Bijlage 5a'!J$5:J$31)))</f>
        <v>0.00432900432900433</v>
      </c>
      <c r="K25" s="42"/>
      <c r="L25" s="26"/>
      <c r="N25" s="34"/>
    </row>
    <row r="26" customFormat="false" ht="12.75" hidden="false" customHeight="false" outlineLevel="0" collapsed="false">
      <c r="A26" s="25" t="n">
        <v>23</v>
      </c>
      <c r="B26" s="41"/>
      <c r="C26" s="42"/>
      <c r="D26" s="41"/>
      <c r="E26" s="42"/>
      <c r="F26" s="41"/>
      <c r="G26" s="42"/>
      <c r="H26" s="41" t="n">
        <f aca="false">('Bijlage 5a'!H26/(SUM('Bijlage 5a'!H$5:H$31)))</f>
        <v>0.00318471337579618</v>
      </c>
      <c r="I26" s="42"/>
      <c r="J26" s="41"/>
      <c r="K26" s="42"/>
      <c r="L26" s="26"/>
      <c r="N26" s="34"/>
    </row>
    <row r="27" customFormat="false" ht="12.75" hidden="false" customHeight="false" outlineLevel="0" collapsed="false">
      <c r="A27" s="25" t="n">
        <v>24</v>
      </c>
      <c r="B27" s="41"/>
      <c r="C27" s="42"/>
      <c r="D27" s="41"/>
      <c r="E27" s="42"/>
      <c r="F27" s="41"/>
      <c r="G27" s="42"/>
      <c r="H27" s="41"/>
      <c r="I27" s="42"/>
      <c r="J27" s="41"/>
      <c r="K27" s="42"/>
      <c r="L27" s="26"/>
      <c r="N27" s="34"/>
    </row>
    <row r="28" customFormat="false" ht="12.75" hidden="false" customHeight="false" outlineLevel="0" collapsed="false">
      <c r="A28" s="25" t="n">
        <v>25</v>
      </c>
      <c r="B28" s="41"/>
      <c r="C28" s="42"/>
      <c r="D28" s="41"/>
      <c r="E28" s="42"/>
      <c r="F28" s="41"/>
      <c r="G28" s="42"/>
      <c r="H28" s="41"/>
      <c r="J28" s="41"/>
      <c r="L28" s="26"/>
      <c r="N28" s="34"/>
    </row>
    <row r="29" customFormat="false" ht="12.75" hidden="false" customHeight="false" outlineLevel="0" collapsed="false">
      <c r="A29" s="25" t="n">
        <v>26</v>
      </c>
      <c r="B29" s="41"/>
      <c r="C29" s="42"/>
      <c r="D29" s="41"/>
      <c r="E29" s="42"/>
      <c r="F29" s="41"/>
      <c r="G29" s="42"/>
      <c r="H29" s="41"/>
      <c r="J29" s="41"/>
      <c r="L29" s="26"/>
      <c r="N29" s="34"/>
    </row>
    <row r="30" customFormat="false" ht="12.75" hidden="false" customHeight="false" outlineLevel="0" collapsed="false">
      <c r="A30" s="25" t="n">
        <v>27</v>
      </c>
      <c r="B30" s="41"/>
      <c r="C30" s="42"/>
      <c r="D30" s="41"/>
      <c r="E30" s="42"/>
      <c r="F30" s="41"/>
      <c r="G30" s="42"/>
      <c r="H30" s="41"/>
      <c r="J30" s="41"/>
      <c r="L30" s="26"/>
      <c r="N30" s="34"/>
    </row>
    <row r="31" customFormat="false" ht="12.75" hidden="false" customHeight="false" outlineLevel="0" collapsed="false">
      <c r="A31" s="25" t="n">
        <v>28</v>
      </c>
      <c r="B31" s="41"/>
      <c r="C31" s="42"/>
      <c r="D31" s="41"/>
      <c r="E31" s="42"/>
      <c r="F31" s="41"/>
      <c r="G31" s="42"/>
      <c r="H31" s="41"/>
      <c r="J31" s="41"/>
      <c r="L31" s="26"/>
      <c r="N31" s="34"/>
    </row>
    <row r="32" customFormat="false" ht="12.75" hidden="false" customHeight="false" outlineLevel="0" collapsed="false">
      <c r="A32" s="25" t="n">
        <v>29</v>
      </c>
      <c r="B32" s="41"/>
      <c r="C32" s="42"/>
      <c r="D32" s="41"/>
      <c r="E32" s="42"/>
      <c r="F32" s="41"/>
      <c r="G32" s="42"/>
      <c r="H32" s="41"/>
      <c r="J32" s="41"/>
      <c r="L32" s="26"/>
      <c r="N32" s="34"/>
    </row>
    <row r="33" customFormat="false" ht="12.75" hidden="false" customHeight="false" outlineLevel="0" collapsed="false">
      <c r="A33" s="25" t="n">
        <v>30</v>
      </c>
      <c r="B33" s="41"/>
      <c r="C33" s="42"/>
      <c r="D33" s="41"/>
      <c r="E33" s="42"/>
      <c r="F33" s="41"/>
      <c r="G33" s="42"/>
      <c r="H33" s="41"/>
      <c r="J33" s="41"/>
      <c r="L33" s="26"/>
      <c r="N33" s="34"/>
    </row>
    <row r="34" customFormat="false" ht="12.75" hidden="false" customHeight="false" outlineLevel="0" collapsed="false">
      <c r="A34" s="25" t="n">
        <v>31</v>
      </c>
      <c r="B34" s="41"/>
      <c r="C34" s="42"/>
      <c r="D34" s="41"/>
      <c r="E34" s="42"/>
      <c r="F34" s="41"/>
      <c r="G34" s="42"/>
      <c r="H34" s="41"/>
      <c r="J34" s="41"/>
      <c r="L34" s="26"/>
      <c r="N34" s="34"/>
    </row>
    <row r="35" customFormat="false" ht="12.75" hidden="false" customHeight="false" outlineLevel="0" collapsed="false">
      <c r="A35" s="25" t="n">
        <v>32</v>
      </c>
      <c r="B35" s="41"/>
      <c r="C35" s="42"/>
      <c r="D35" s="41"/>
      <c r="E35" s="42"/>
      <c r="F35" s="41"/>
      <c r="G35" s="42"/>
      <c r="H35" s="41"/>
      <c r="J35" s="41"/>
      <c r="L35" s="26"/>
      <c r="N35" s="34"/>
    </row>
    <row r="36" customFormat="false" ht="12.75" hidden="false" customHeight="false" outlineLevel="0" collapsed="false">
      <c r="A36" s="25" t="n">
        <v>33</v>
      </c>
      <c r="B36" s="41"/>
      <c r="C36" s="42"/>
      <c r="D36" s="41"/>
      <c r="E36" s="42"/>
      <c r="F36" s="41"/>
      <c r="G36" s="42"/>
      <c r="H36" s="41"/>
      <c r="J36" s="41"/>
      <c r="L36" s="26"/>
      <c r="N36" s="34"/>
    </row>
    <row r="37" customFormat="false" ht="12.75" hidden="false" customHeight="false" outlineLevel="0" collapsed="false">
      <c r="A37" s="25" t="n">
        <v>34</v>
      </c>
      <c r="B37" s="41"/>
      <c r="C37" s="42"/>
      <c r="D37" s="41"/>
      <c r="E37" s="42"/>
      <c r="F37" s="41"/>
      <c r="G37" s="42"/>
      <c r="H37" s="41"/>
      <c r="J37" s="41"/>
      <c r="L37" s="26"/>
      <c r="N37" s="34"/>
    </row>
    <row r="38" customFormat="false" ht="12.75" hidden="false" customHeight="false" outlineLevel="0" collapsed="false">
      <c r="A38" s="25" t="n">
        <v>35</v>
      </c>
      <c r="B38" s="41"/>
      <c r="C38" s="42"/>
      <c r="D38" s="41"/>
      <c r="E38" s="42"/>
      <c r="F38" s="41"/>
      <c r="G38" s="42"/>
      <c r="H38" s="41"/>
      <c r="J38" s="41"/>
      <c r="N38" s="34"/>
    </row>
    <row r="39" customFormat="false" ht="12.75" hidden="false" customHeight="false" outlineLevel="0" collapsed="false">
      <c r="A39" s="25" t="n">
        <v>36</v>
      </c>
      <c r="B39" s="41"/>
      <c r="C39" s="42"/>
      <c r="D39" s="41"/>
      <c r="E39" s="42"/>
      <c r="F39" s="43"/>
      <c r="G39" s="42"/>
      <c r="H39" s="43"/>
      <c r="J39" s="43"/>
      <c r="N39" s="34"/>
    </row>
    <row r="40" customFormat="false" ht="12.75" hidden="false" customHeight="false" outlineLevel="0" collapsed="false">
      <c r="A40" s="32" t="s">
        <v>137</v>
      </c>
      <c r="B40" s="44" t="n">
        <f aca="false">SUM(B5:B39)</f>
        <v>1</v>
      </c>
      <c r="C40" s="44" t="n">
        <f aca="false">SUM(C5:C39)</f>
        <v>1</v>
      </c>
      <c r="D40" s="44" t="n">
        <f aca="false">SUM(D5:D39)</f>
        <v>1</v>
      </c>
      <c r="E40" s="44" t="n">
        <f aca="false">SUM(E5:E39)</f>
        <v>1</v>
      </c>
      <c r="F40" s="44" t="n">
        <f aca="false">SUM(F5:F39)</f>
        <v>1</v>
      </c>
      <c r="G40" s="44" t="n">
        <f aca="false">SUM(G5:G39)</f>
        <v>1</v>
      </c>
      <c r="H40" s="44" t="n">
        <f aca="false">SUM(H5:H39)</f>
        <v>1</v>
      </c>
      <c r="I40" s="44" t="n">
        <f aca="false">SUM(I5:I39)</f>
        <v>1</v>
      </c>
      <c r="J40" s="44" t="n">
        <f aca="false">SUM(J5:J39)</f>
        <v>1</v>
      </c>
      <c r="K40" s="44" t="n">
        <f aca="false">SUM(K5:K39)</f>
        <v>1</v>
      </c>
      <c r="L40" s="26"/>
    </row>
    <row r="1048576" customFormat="false" ht="12.8" hidden="false" customHeight="false" outlineLevel="0" collapsed="false"/>
  </sheetData>
  <mergeCells count="6">
    <mergeCell ref="A3:A4"/>
    <mergeCell ref="B3:C3"/>
    <mergeCell ref="D3:E3"/>
    <mergeCell ref="F3:G3"/>
    <mergeCell ref="H3:I3"/>
    <mergeCell ref="J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16" activeCellId="0" sqref="F16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2" min="2" style="1" width="10.29"/>
    <col collapsed="false" customWidth="true" hidden="false" outlineLevel="0" max="3" min="3" style="45" width="9.41"/>
    <col collapsed="false" customWidth="true" hidden="false" outlineLevel="0" max="4" min="4" style="1" width="10.29"/>
    <col collapsed="false" customWidth="true" hidden="false" outlineLevel="0" max="5" min="5" style="45" width="11.66"/>
    <col collapsed="false" customWidth="true" hidden="false" outlineLevel="0" max="6" min="6" style="1" width="10.29"/>
    <col collapsed="false" customWidth="true" hidden="false" outlineLevel="0" max="7" min="7" style="45" width="9.41"/>
    <col collapsed="false" customWidth="true" hidden="false" outlineLevel="0" max="8" min="8" style="1" width="10.29"/>
    <col collapsed="false" customWidth="true" hidden="false" outlineLevel="0" max="9" min="9" style="45" width="11.66"/>
    <col collapsed="false" customWidth="true" hidden="false" outlineLevel="0" max="10" min="10" style="1" width="10.29"/>
    <col collapsed="false" customWidth="true" hidden="false" outlineLevel="0" max="11" min="11" style="45" width="10.45"/>
    <col collapsed="false" customWidth="true" hidden="false" outlineLevel="0" max="12" min="12" style="1" width="10.29"/>
    <col collapsed="false" customWidth="true" hidden="false" outlineLevel="0" max="13" min="13" style="45" width="10.59"/>
    <col collapsed="false" customWidth="true" hidden="false" outlineLevel="0" max="14" min="14" style="1" width="11.36"/>
    <col collapsed="false" customWidth="true" hidden="false" outlineLevel="0" max="15" min="15" style="45" width="9.41"/>
    <col collapsed="false" customWidth="true" hidden="false" outlineLevel="0" max="17" min="17" style="45" width="11.66"/>
    <col collapsed="false" customWidth="true" hidden="false" outlineLevel="0" max="19" min="19" style="45" width="10.45"/>
    <col collapsed="false" customWidth="true" hidden="false" outlineLevel="0" max="21" min="21" style="45" width="11.66"/>
  </cols>
  <sheetData>
    <row r="1" customFormat="false" ht="12.75" hidden="false" customHeight="false" outlineLevel="0" collapsed="false">
      <c r="A1" s="1" t="s">
        <v>143</v>
      </c>
    </row>
    <row r="2" customFormat="false" ht="12.75" hidden="false" customHeight="false" outlineLevel="0" collapsed="false">
      <c r="B2" s="46" t="s">
        <v>144</v>
      </c>
    </row>
    <row r="3" customFormat="false" ht="12.75" hidden="false" customHeight="false" outlineLevel="0" collapsed="false">
      <c r="A3" s="47" t="s">
        <v>145</v>
      </c>
      <c r="B3" s="47" t="s">
        <v>87</v>
      </c>
      <c r="C3" s="47"/>
      <c r="D3" s="47"/>
      <c r="E3" s="47"/>
      <c r="F3" s="48" t="s">
        <v>146</v>
      </c>
      <c r="G3" s="48"/>
      <c r="H3" s="48"/>
      <c r="I3" s="48"/>
      <c r="J3" s="47" t="s">
        <v>135</v>
      </c>
      <c r="K3" s="47"/>
      <c r="L3" s="47"/>
      <c r="M3" s="47"/>
      <c r="N3" s="47" t="s">
        <v>142</v>
      </c>
      <c r="O3" s="47"/>
      <c r="P3" s="47"/>
      <c r="Q3" s="47"/>
      <c r="R3" s="47" t="s">
        <v>101</v>
      </c>
      <c r="S3" s="47"/>
      <c r="T3" s="47"/>
      <c r="U3" s="47"/>
    </row>
    <row r="4" customFormat="false" ht="12.75" hidden="false" customHeight="false" outlineLevel="0" collapsed="false">
      <c r="A4" s="47"/>
      <c r="B4" s="47" t="s">
        <v>147</v>
      </c>
      <c r="C4" s="47"/>
      <c r="D4" s="47" t="s">
        <v>148</v>
      </c>
      <c r="E4" s="47"/>
      <c r="F4" s="47" t="s">
        <v>147</v>
      </c>
      <c r="G4" s="47"/>
      <c r="H4" s="47" t="s">
        <v>148</v>
      </c>
      <c r="I4" s="47"/>
      <c r="J4" s="47" t="s">
        <v>147</v>
      </c>
      <c r="K4" s="47"/>
      <c r="L4" s="47" t="s">
        <v>148</v>
      </c>
      <c r="M4" s="47"/>
      <c r="N4" s="47" t="s">
        <v>147</v>
      </c>
      <c r="O4" s="47"/>
      <c r="P4" s="47" t="s">
        <v>148</v>
      </c>
      <c r="Q4" s="47"/>
      <c r="R4" s="47" t="s">
        <v>147</v>
      </c>
      <c r="S4" s="47"/>
      <c r="T4" s="47" t="s">
        <v>148</v>
      </c>
      <c r="U4" s="47"/>
    </row>
    <row r="5" customFormat="false" ht="12.75" hidden="false" customHeight="false" outlineLevel="0" collapsed="false">
      <c r="A5" s="47"/>
      <c r="B5" s="49" t="s">
        <v>149</v>
      </c>
      <c r="C5" s="50" t="s">
        <v>150</v>
      </c>
      <c r="D5" s="49" t="s">
        <v>149</v>
      </c>
      <c r="E5" s="51" t="s">
        <v>151</v>
      </c>
      <c r="F5" s="49" t="s">
        <v>149</v>
      </c>
      <c r="G5" s="51" t="s">
        <v>150</v>
      </c>
      <c r="H5" s="52" t="s">
        <v>149</v>
      </c>
      <c r="I5" s="50" t="s">
        <v>151</v>
      </c>
      <c r="J5" s="52" t="s">
        <v>149</v>
      </c>
      <c r="K5" s="51" t="s">
        <v>150</v>
      </c>
      <c r="L5" s="52" t="s">
        <v>149</v>
      </c>
      <c r="M5" s="50" t="s">
        <v>151</v>
      </c>
      <c r="N5" s="49" t="s">
        <v>149</v>
      </c>
      <c r="O5" s="51" t="s">
        <v>150</v>
      </c>
      <c r="P5" s="52" t="s">
        <v>149</v>
      </c>
      <c r="Q5" s="50" t="s">
        <v>151</v>
      </c>
      <c r="R5" s="49" t="s">
        <v>149</v>
      </c>
      <c r="S5" s="51" t="s">
        <v>150</v>
      </c>
      <c r="T5" s="52" t="s">
        <v>149</v>
      </c>
      <c r="U5" s="50" t="s">
        <v>151</v>
      </c>
    </row>
    <row r="6" customFormat="false" ht="12.75" hidden="false" customHeight="false" outlineLevel="0" collapsed="false">
      <c r="A6" s="25" t="n">
        <v>7</v>
      </c>
      <c r="B6" s="53"/>
      <c r="D6" s="54" t="n">
        <v>1.81</v>
      </c>
      <c r="E6" s="55" t="n">
        <v>25</v>
      </c>
      <c r="F6" s="56" t="n">
        <v>1.497</v>
      </c>
      <c r="G6" s="57" t="n">
        <v>25</v>
      </c>
      <c r="H6" s="53" t="n">
        <v>1.81</v>
      </c>
      <c r="I6" s="57" t="n">
        <v>25</v>
      </c>
      <c r="J6" s="56"/>
      <c r="K6" s="57"/>
      <c r="L6" s="53" t="n">
        <v>1.59</v>
      </c>
      <c r="M6" s="55" t="n">
        <v>25</v>
      </c>
      <c r="N6" s="53" t="n">
        <v>1.53</v>
      </c>
      <c r="O6" s="57" t="n">
        <v>10</v>
      </c>
      <c r="P6" s="53" t="n">
        <v>1.63</v>
      </c>
      <c r="Q6" s="45" t="n">
        <v>25</v>
      </c>
      <c r="R6" s="56"/>
      <c r="S6" s="57"/>
      <c r="T6" s="53" t="n">
        <v>1.87</v>
      </c>
      <c r="U6" s="45" t="n">
        <v>25</v>
      </c>
    </row>
    <row r="7" customFormat="false" ht="12.75" hidden="false" customHeight="false" outlineLevel="0" collapsed="false">
      <c r="A7" s="25" t="n">
        <v>8</v>
      </c>
      <c r="B7" s="53" t="n">
        <v>1.97</v>
      </c>
      <c r="C7" s="45" t="n">
        <v>11</v>
      </c>
      <c r="D7" s="56" t="n">
        <v>2.898</v>
      </c>
      <c r="E7" s="57" t="n">
        <v>25</v>
      </c>
      <c r="F7" s="56" t="n">
        <v>1.75</v>
      </c>
      <c r="G7" s="57" t="n">
        <v>25</v>
      </c>
      <c r="H7" s="53" t="n">
        <v>2.48</v>
      </c>
      <c r="I7" s="57" t="n">
        <v>25</v>
      </c>
      <c r="J7" s="56" t="n">
        <v>1.76</v>
      </c>
      <c r="K7" s="57" t="n">
        <v>13</v>
      </c>
      <c r="L7" s="53" t="n">
        <v>2.23</v>
      </c>
      <c r="M7" s="57" t="n">
        <v>25</v>
      </c>
      <c r="N7" s="53"/>
      <c r="O7" s="57"/>
      <c r="P7" s="53" t="n">
        <v>2.31</v>
      </c>
      <c r="Q7" s="45" t="n">
        <v>25</v>
      </c>
      <c r="R7" s="56"/>
      <c r="S7" s="57"/>
      <c r="T7" s="53" t="n">
        <v>2.59</v>
      </c>
      <c r="U7" s="45" t="n">
        <v>25</v>
      </c>
    </row>
    <row r="8" customFormat="false" ht="12.75" hidden="false" customHeight="false" outlineLevel="0" collapsed="false">
      <c r="A8" s="25" t="n">
        <v>9</v>
      </c>
      <c r="B8" s="53" t="n">
        <v>2.8652</v>
      </c>
      <c r="C8" s="45" t="n">
        <v>25</v>
      </c>
      <c r="D8" s="56" t="n">
        <v>5.26</v>
      </c>
      <c r="E8" s="57" t="n">
        <v>25</v>
      </c>
      <c r="F8" s="56" t="n">
        <v>1.942</v>
      </c>
      <c r="G8" s="57" t="n">
        <v>18</v>
      </c>
      <c r="H8" s="53" t="n">
        <v>3.197</v>
      </c>
      <c r="I8" s="57" t="n">
        <v>25</v>
      </c>
      <c r="J8" s="53"/>
      <c r="K8" s="57"/>
      <c r="L8" s="53" t="n">
        <v>3.31</v>
      </c>
      <c r="M8" s="57" t="n">
        <v>25</v>
      </c>
      <c r="N8" s="53"/>
      <c r="O8" s="57"/>
      <c r="P8" s="53" t="n">
        <v>3.29</v>
      </c>
      <c r="Q8" s="45" t="n">
        <v>25</v>
      </c>
      <c r="R8" s="56"/>
      <c r="S8" s="57"/>
      <c r="T8" s="53" t="n">
        <v>3.38</v>
      </c>
      <c r="U8" s="57" t="n">
        <v>25</v>
      </c>
    </row>
    <row r="9" customFormat="false" ht="12.75" hidden="false" customHeight="false" outlineLevel="0" collapsed="false">
      <c r="A9" s="25" t="n">
        <v>10</v>
      </c>
      <c r="B9" s="53" t="n">
        <v>3.3852</v>
      </c>
      <c r="C9" s="45" t="n">
        <v>25</v>
      </c>
      <c r="D9" s="56" t="n">
        <v>8.414</v>
      </c>
      <c r="E9" s="57" t="n">
        <v>25</v>
      </c>
      <c r="F9" s="56" t="n">
        <v>3.0944</v>
      </c>
      <c r="G9" s="57" t="n">
        <v>25</v>
      </c>
      <c r="H9" s="53" t="n">
        <v>5.83</v>
      </c>
      <c r="I9" s="57" t="n">
        <v>25</v>
      </c>
      <c r="J9" s="56" t="n">
        <v>4.11</v>
      </c>
      <c r="K9" s="57" t="n">
        <v>11</v>
      </c>
      <c r="L9" s="53" t="n">
        <v>4.69</v>
      </c>
      <c r="M9" s="57" t="n">
        <v>25</v>
      </c>
      <c r="N9" s="53"/>
      <c r="O9" s="57"/>
      <c r="P9" s="56" t="n">
        <v>4.55</v>
      </c>
      <c r="Q9" s="45" t="n">
        <v>25</v>
      </c>
      <c r="R9" s="56"/>
      <c r="S9" s="57"/>
      <c r="T9" s="53" t="n">
        <v>4.6</v>
      </c>
      <c r="U9" s="57" t="n">
        <v>25</v>
      </c>
    </row>
    <row r="10" customFormat="false" ht="12.75" hidden="false" customHeight="false" outlineLevel="0" collapsed="false">
      <c r="A10" s="25" t="n">
        <v>11</v>
      </c>
      <c r="B10" s="53" t="n">
        <v>4.2948</v>
      </c>
      <c r="C10" s="45" t="n">
        <v>25</v>
      </c>
      <c r="D10" s="56" t="n">
        <v>11.929</v>
      </c>
      <c r="E10" s="57" t="n">
        <v>11</v>
      </c>
      <c r="F10" s="56" t="n">
        <v>3.778</v>
      </c>
      <c r="G10" s="57" t="n">
        <v>25</v>
      </c>
      <c r="H10" s="53" t="n">
        <v>11.45</v>
      </c>
      <c r="I10" s="57" t="n">
        <v>25</v>
      </c>
      <c r="J10" s="56" t="n">
        <v>4.86</v>
      </c>
      <c r="K10" s="57" t="n">
        <v>12</v>
      </c>
      <c r="L10" s="53" t="n">
        <v>5.47</v>
      </c>
      <c r="M10" s="57" t="n">
        <v>25</v>
      </c>
      <c r="N10" s="53"/>
      <c r="O10" s="57"/>
      <c r="P10" s="56" t="n">
        <v>5.8</v>
      </c>
      <c r="Q10" s="45" t="n">
        <v>25</v>
      </c>
      <c r="R10" s="56"/>
      <c r="S10" s="57"/>
      <c r="T10" s="53" t="n">
        <v>6.24</v>
      </c>
      <c r="U10" s="57" t="n">
        <v>25</v>
      </c>
    </row>
    <row r="11" customFormat="false" ht="12.75" hidden="false" customHeight="false" outlineLevel="0" collapsed="false">
      <c r="A11" s="25" t="n">
        <v>12</v>
      </c>
      <c r="B11" s="53" t="n">
        <v>5.797</v>
      </c>
      <c r="C11" s="45" t="n">
        <v>23</v>
      </c>
      <c r="D11" s="56"/>
      <c r="E11" s="57"/>
      <c r="F11" s="56" t="n">
        <v>4.4495</v>
      </c>
      <c r="G11" s="57" t="n">
        <v>20</v>
      </c>
      <c r="H11" s="53" t="n">
        <v>13.62</v>
      </c>
      <c r="I11" s="57" t="n">
        <v>17</v>
      </c>
      <c r="J11" s="56" t="n">
        <v>5.56</v>
      </c>
      <c r="K11" s="57" t="n">
        <v>21</v>
      </c>
      <c r="L11" s="53" t="n">
        <v>6.76</v>
      </c>
      <c r="M11" s="57" t="n">
        <v>21</v>
      </c>
      <c r="N11" s="53" t="n">
        <v>6.52</v>
      </c>
      <c r="O11" s="57" t="n">
        <v>15</v>
      </c>
      <c r="P11" s="53" t="n">
        <v>6.71</v>
      </c>
      <c r="Q11" s="45" t="n">
        <v>25</v>
      </c>
      <c r="R11" s="56" t="n">
        <v>6.31</v>
      </c>
      <c r="S11" s="57" t="n">
        <v>17</v>
      </c>
      <c r="T11" s="53" t="n">
        <v>9.63</v>
      </c>
      <c r="U11" s="57" t="n">
        <v>25</v>
      </c>
    </row>
    <row r="12" customFormat="false" ht="12.75" hidden="false" customHeight="false" outlineLevel="0" collapsed="false">
      <c r="A12" s="25" t="n">
        <v>13</v>
      </c>
      <c r="B12" s="53" t="n">
        <v>7.425</v>
      </c>
      <c r="C12" s="45" t="n">
        <v>13</v>
      </c>
      <c r="D12" s="56"/>
      <c r="E12" s="57"/>
      <c r="F12" s="56" t="n">
        <v>6.69</v>
      </c>
      <c r="G12" s="57" t="n">
        <v>25</v>
      </c>
      <c r="H12" s="53"/>
      <c r="I12" s="57"/>
      <c r="J12" s="56" t="n">
        <v>6.91</v>
      </c>
      <c r="K12" s="57" t="n">
        <v>25</v>
      </c>
      <c r="L12" s="53"/>
      <c r="M12" s="57"/>
      <c r="N12" s="53" t="n">
        <v>8.51</v>
      </c>
      <c r="O12" s="57" t="n">
        <v>21</v>
      </c>
      <c r="P12" s="56" t="n">
        <v>9.6</v>
      </c>
      <c r="Q12" s="45" t="n">
        <v>25</v>
      </c>
      <c r="R12" s="56" t="n">
        <v>8.19</v>
      </c>
      <c r="S12" s="57" t="n">
        <v>25</v>
      </c>
      <c r="T12" s="53" t="n">
        <v>10.77</v>
      </c>
      <c r="U12" s="57" t="n">
        <v>14</v>
      </c>
    </row>
    <row r="13" customFormat="false" ht="12.75" hidden="false" customHeight="false" outlineLevel="0" collapsed="false">
      <c r="A13" s="25" t="n">
        <v>14</v>
      </c>
      <c r="B13" s="53" t="n">
        <v>10.488</v>
      </c>
      <c r="C13" s="45" t="n">
        <v>18</v>
      </c>
      <c r="D13" s="56"/>
      <c r="E13" s="57"/>
      <c r="F13" s="56" t="n">
        <v>7.48</v>
      </c>
      <c r="G13" s="57" t="n">
        <v>25</v>
      </c>
      <c r="H13" s="53"/>
      <c r="I13" s="57"/>
      <c r="J13" s="56" t="n">
        <v>9.54</v>
      </c>
      <c r="K13" s="57" t="n">
        <v>25</v>
      </c>
      <c r="L13" s="53"/>
      <c r="M13" s="57"/>
      <c r="N13" s="53" t="n">
        <v>10.12</v>
      </c>
      <c r="O13" s="57" t="n">
        <v>21</v>
      </c>
      <c r="P13" s="53" t="n">
        <v>15.55</v>
      </c>
      <c r="Q13" s="45" t="n">
        <v>10</v>
      </c>
      <c r="R13" s="56" t="n">
        <v>9.45</v>
      </c>
      <c r="S13" s="57" t="n">
        <v>25</v>
      </c>
      <c r="T13" s="53" t="n">
        <v>12.61</v>
      </c>
      <c r="U13" s="57" t="n">
        <v>12</v>
      </c>
    </row>
    <row r="14" customFormat="false" ht="12.75" hidden="false" customHeight="false" outlineLevel="0" collapsed="false">
      <c r="A14" s="25" t="n">
        <v>15</v>
      </c>
      <c r="B14" s="53" t="n">
        <v>11.323</v>
      </c>
      <c r="C14" s="57" t="n">
        <v>14</v>
      </c>
      <c r="D14" s="53"/>
      <c r="E14" s="57"/>
      <c r="F14" s="56" t="n">
        <v>8.866</v>
      </c>
      <c r="G14" s="57" t="n">
        <v>25</v>
      </c>
      <c r="H14" s="53"/>
      <c r="I14" s="57"/>
      <c r="J14" s="56" t="n">
        <v>10.4</v>
      </c>
      <c r="K14" s="57" t="n">
        <v>25</v>
      </c>
      <c r="L14" s="53"/>
      <c r="M14" s="57"/>
      <c r="N14" s="53" t="n">
        <v>12.45</v>
      </c>
      <c r="O14" s="57" t="n">
        <v>22</v>
      </c>
      <c r="P14" s="53" t="n">
        <v>22.96</v>
      </c>
      <c r="Q14" s="45" t="n">
        <v>10</v>
      </c>
      <c r="R14" s="56" t="n">
        <v>11.31</v>
      </c>
      <c r="S14" s="57" t="n">
        <v>25</v>
      </c>
      <c r="T14" s="53"/>
      <c r="U14" s="57"/>
    </row>
    <row r="15" customFormat="false" ht="12.75" hidden="false" customHeight="false" outlineLevel="0" collapsed="false">
      <c r="A15" s="25" t="n">
        <v>16</v>
      </c>
      <c r="B15" s="53" t="n">
        <v>14.073</v>
      </c>
      <c r="C15" s="57" t="n">
        <v>10</v>
      </c>
      <c r="D15" s="53"/>
      <c r="E15" s="57"/>
      <c r="F15" s="56" t="n">
        <v>10.19</v>
      </c>
      <c r="G15" s="57" t="n">
        <v>25</v>
      </c>
      <c r="H15" s="53"/>
      <c r="I15" s="57"/>
      <c r="J15" s="56" t="n">
        <v>11.68</v>
      </c>
      <c r="K15" s="57" t="n">
        <v>25</v>
      </c>
      <c r="L15" s="53"/>
      <c r="M15" s="57"/>
      <c r="N15" s="53" t="n">
        <v>15.15</v>
      </c>
      <c r="O15" s="57" t="n">
        <v>25</v>
      </c>
      <c r="P15" s="53"/>
      <c r="R15" s="56" t="n">
        <v>13.05</v>
      </c>
      <c r="S15" s="57" t="n">
        <v>25</v>
      </c>
      <c r="T15" s="53"/>
      <c r="U15" s="57"/>
    </row>
    <row r="16" customFormat="false" ht="12.75" hidden="false" customHeight="false" outlineLevel="0" collapsed="false">
      <c r="A16" s="25" t="n">
        <v>17</v>
      </c>
      <c r="B16" s="53"/>
      <c r="C16" s="57"/>
      <c r="D16" s="53"/>
      <c r="E16" s="57"/>
      <c r="F16" s="56" t="n">
        <v>13.48</v>
      </c>
      <c r="G16" s="57" t="n">
        <v>15</v>
      </c>
      <c r="H16" s="53"/>
      <c r="I16" s="57"/>
      <c r="J16" s="56" t="n">
        <v>13.52</v>
      </c>
      <c r="K16" s="57" t="n">
        <v>25</v>
      </c>
      <c r="L16" s="53"/>
      <c r="M16" s="57"/>
      <c r="N16" s="53" t="n">
        <v>17.76</v>
      </c>
      <c r="O16" s="57" t="n">
        <v>25</v>
      </c>
      <c r="P16" s="56"/>
      <c r="R16" s="56" t="n">
        <v>14.83</v>
      </c>
      <c r="S16" s="57" t="n">
        <v>21</v>
      </c>
      <c r="T16" s="53"/>
      <c r="U16" s="57"/>
    </row>
    <row r="17" customFormat="false" ht="12.75" hidden="false" customHeight="false" outlineLevel="0" collapsed="false">
      <c r="A17" s="25" t="n">
        <v>18</v>
      </c>
      <c r="B17" s="53"/>
      <c r="C17" s="57"/>
      <c r="D17" s="53"/>
      <c r="E17" s="57"/>
      <c r="F17" s="56"/>
      <c r="G17" s="57"/>
      <c r="H17" s="53"/>
      <c r="I17" s="57"/>
      <c r="J17" s="56" t="n">
        <v>14.67</v>
      </c>
      <c r="K17" s="57" t="n">
        <v>22</v>
      </c>
      <c r="L17" s="53"/>
      <c r="M17" s="57"/>
      <c r="N17" s="53" t="n">
        <v>21.34</v>
      </c>
      <c r="O17" s="57" t="n">
        <v>25</v>
      </c>
      <c r="P17" s="53"/>
      <c r="R17" s="56" t="n">
        <v>19.83</v>
      </c>
      <c r="S17" s="57" t="n">
        <v>12</v>
      </c>
      <c r="T17" s="53"/>
      <c r="U17" s="57"/>
    </row>
    <row r="18" customFormat="false" ht="12.75" hidden="false" customHeight="false" outlineLevel="0" collapsed="false">
      <c r="A18" s="25" t="n">
        <v>19</v>
      </c>
      <c r="B18" s="53"/>
      <c r="C18" s="57"/>
      <c r="D18" s="53"/>
      <c r="F18" s="56"/>
      <c r="G18" s="57"/>
      <c r="H18" s="53"/>
      <c r="I18" s="57"/>
      <c r="J18" s="56" t="n">
        <v>18.5</v>
      </c>
      <c r="K18" s="57" t="n">
        <v>10</v>
      </c>
      <c r="L18" s="53"/>
      <c r="M18" s="57"/>
      <c r="N18" s="53" t="n">
        <v>22.82</v>
      </c>
      <c r="O18" s="57" t="n">
        <v>24</v>
      </c>
      <c r="P18" s="53"/>
      <c r="R18" s="56"/>
      <c r="S18" s="57"/>
      <c r="T18" s="53"/>
      <c r="U18" s="57"/>
    </row>
    <row r="19" customFormat="false" ht="12.75" hidden="false" customHeight="false" outlineLevel="0" collapsed="false">
      <c r="A19" s="25" t="n">
        <v>20</v>
      </c>
      <c r="B19" s="53"/>
      <c r="C19" s="57"/>
      <c r="D19" s="53"/>
      <c r="E19" s="57"/>
      <c r="F19" s="56"/>
      <c r="G19" s="57"/>
      <c r="H19" s="53"/>
      <c r="I19" s="57"/>
      <c r="J19" s="56"/>
      <c r="K19" s="57"/>
      <c r="L19" s="53"/>
      <c r="M19" s="57"/>
      <c r="N19" s="53" t="n">
        <v>29.26</v>
      </c>
      <c r="O19" s="57" t="n">
        <v>10</v>
      </c>
      <c r="P19" s="53"/>
      <c r="R19" s="56"/>
      <c r="S19" s="57"/>
      <c r="T19" s="53"/>
      <c r="U19" s="57"/>
    </row>
    <row r="20" customFormat="false" ht="12.75" hidden="false" customHeight="false" outlineLevel="0" collapsed="false">
      <c r="A20" s="25" t="n">
        <v>21</v>
      </c>
      <c r="B20" s="53"/>
      <c r="C20" s="57"/>
      <c r="D20" s="53"/>
      <c r="E20" s="57"/>
      <c r="F20" s="56"/>
      <c r="G20" s="57"/>
      <c r="H20" s="53"/>
      <c r="I20" s="57"/>
      <c r="J20" s="56"/>
      <c r="K20" s="57"/>
      <c r="L20" s="53"/>
      <c r="M20" s="57"/>
      <c r="N20" s="53"/>
      <c r="O20" s="57"/>
      <c r="P20" s="56"/>
      <c r="R20" s="56"/>
      <c r="S20" s="57"/>
      <c r="T20" s="53"/>
      <c r="U20" s="57"/>
    </row>
    <row r="21" customFormat="false" ht="12.75" hidden="false" customHeight="false" outlineLevel="0" collapsed="false">
      <c r="A21" s="25" t="n">
        <v>22</v>
      </c>
      <c r="B21" s="53"/>
      <c r="C21" s="57"/>
      <c r="D21" s="53"/>
      <c r="E21" s="57"/>
      <c r="F21" s="56"/>
      <c r="G21" s="57"/>
      <c r="H21" s="53"/>
      <c r="I21" s="57"/>
      <c r="J21" s="56"/>
      <c r="K21" s="57"/>
      <c r="L21" s="53"/>
      <c r="M21" s="57"/>
      <c r="N21" s="53"/>
      <c r="O21" s="57"/>
      <c r="P21" s="53"/>
      <c r="Q21" s="57"/>
      <c r="R21" s="56"/>
      <c r="S21" s="57"/>
      <c r="T21" s="53"/>
      <c r="U21" s="57"/>
    </row>
    <row r="22" customFormat="false" ht="12.75" hidden="false" customHeight="false" outlineLevel="0" collapsed="false">
      <c r="A22" s="25" t="n">
        <v>23</v>
      </c>
      <c r="B22" s="53"/>
      <c r="C22" s="57"/>
      <c r="D22" s="53"/>
      <c r="E22" s="57"/>
      <c r="F22" s="56"/>
      <c r="G22" s="57"/>
      <c r="H22" s="53"/>
      <c r="I22" s="57"/>
      <c r="J22" s="56"/>
      <c r="K22" s="57"/>
      <c r="L22" s="53"/>
      <c r="M22" s="57"/>
      <c r="N22" s="53"/>
      <c r="O22" s="57"/>
      <c r="P22" s="53"/>
      <c r="Q22" s="57"/>
      <c r="R22" s="56"/>
      <c r="S22" s="57"/>
      <c r="T22" s="53"/>
      <c r="U22" s="57"/>
    </row>
    <row r="23" customFormat="false" ht="12.75" hidden="false" customHeight="false" outlineLevel="0" collapsed="false">
      <c r="A23" s="25" t="n">
        <v>24</v>
      </c>
      <c r="B23" s="53"/>
      <c r="C23" s="57"/>
      <c r="D23" s="53"/>
      <c r="E23" s="57"/>
      <c r="F23" s="56"/>
      <c r="G23" s="57"/>
      <c r="H23" s="53"/>
      <c r="I23" s="57"/>
      <c r="J23" s="53"/>
      <c r="K23" s="57"/>
      <c r="L23" s="53"/>
      <c r="M23" s="57"/>
      <c r="N23" s="53"/>
      <c r="O23" s="57"/>
      <c r="P23" s="53"/>
      <c r="Q23" s="57"/>
      <c r="R23" s="56"/>
      <c r="S23" s="57"/>
      <c r="T23" s="53"/>
      <c r="U23" s="57"/>
    </row>
    <row r="24" customFormat="false" ht="12.75" hidden="false" customHeight="false" outlineLevel="0" collapsed="false">
      <c r="A24" s="25" t="n">
        <v>25</v>
      </c>
      <c r="B24" s="53"/>
      <c r="C24" s="57"/>
      <c r="D24" s="53"/>
      <c r="E24" s="57"/>
      <c r="F24" s="56"/>
      <c r="G24" s="57"/>
      <c r="H24" s="53"/>
      <c r="I24" s="57"/>
      <c r="J24" s="53"/>
      <c r="K24" s="57"/>
      <c r="L24" s="53"/>
      <c r="M24" s="57"/>
      <c r="N24" s="53"/>
      <c r="O24" s="57"/>
      <c r="P24" s="53"/>
      <c r="Q24" s="57"/>
      <c r="R24" s="56"/>
      <c r="S24" s="57"/>
      <c r="T24" s="53"/>
      <c r="U24" s="57"/>
    </row>
    <row r="25" customFormat="false" ht="12.75" hidden="false" customHeight="false" outlineLevel="0" collapsed="false">
      <c r="A25" s="25" t="n">
        <v>26</v>
      </c>
      <c r="B25" s="53"/>
      <c r="C25" s="57"/>
      <c r="D25" s="53"/>
      <c r="E25" s="57"/>
      <c r="F25" s="56"/>
      <c r="G25" s="57"/>
      <c r="H25" s="53"/>
      <c r="I25" s="57"/>
      <c r="J25" s="53"/>
      <c r="K25" s="57"/>
      <c r="L25" s="53"/>
      <c r="M25" s="57"/>
      <c r="N25" s="53"/>
      <c r="O25" s="57"/>
      <c r="P25" s="53"/>
      <c r="Q25" s="57"/>
      <c r="R25" s="56"/>
      <c r="S25" s="57"/>
      <c r="T25" s="53"/>
      <c r="U25" s="57"/>
      <c r="W25" s="30"/>
    </row>
    <row r="26" customFormat="false" ht="12.75" hidden="false" customHeight="false" outlineLevel="0" collapsed="false">
      <c r="A26" s="25" t="n">
        <v>27</v>
      </c>
      <c r="B26" s="53"/>
      <c r="C26" s="57"/>
      <c r="D26" s="53"/>
      <c r="E26" s="57"/>
      <c r="F26" s="56"/>
      <c r="G26" s="57"/>
      <c r="H26" s="53"/>
      <c r="I26" s="57"/>
      <c r="J26" s="53"/>
      <c r="K26" s="57"/>
      <c r="L26" s="53"/>
      <c r="M26" s="57"/>
      <c r="N26" s="53"/>
      <c r="O26" s="57"/>
      <c r="P26" s="53"/>
      <c r="Q26" s="57"/>
      <c r="R26" s="56"/>
      <c r="S26" s="57"/>
      <c r="T26" s="53"/>
      <c r="U26" s="57"/>
    </row>
    <row r="27" customFormat="false" ht="12.75" hidden="false" customHeight="false" outlineLevel="0" collapsed="false">
      <c r="A27" s="25" t="n">
        <v>28</v>
      </c>
      <c r="B27" s="53"/>
      <c r="C27" s="57"/>
      <c r="D27" s="53"/>
      <c r="E27" s="57"/>
      <c r="F27" s="56"/>
      <c r="G27" s="57"/>
      <c r="H27" s="53"/>
      <c r="I27" s="57"/>
      <c r="J27" s="56"/>
      <c r="K27" s="57"/>
      <c r="L27" s="53"/>
      <c r="M27" s="57"/>
      <c r="N27" s="53"/>
      <c r="O27" s="57"/>
      <c r="P27" s="53"/>
      <c r="Q27" s="57"/>
      <c r="R27" s="56"/>
      <c r="S27" s="57"/>
      <c r="T27" s="53"/>
      <c r="U27" s="57"/>
    </row>
    <row r="28" customFormat="false" ht="12.75" hidden="false" customHeight="false" outlineLevel="0" collapsed="false">
      <c r="A28" s="25" t="n">
        <v>29</v>
      </c>
      <c r="B28" s="53"/>
      <c r="C28" s="57"/>
      <c r="D28" s="53"/>
      <c r="E28" s="57"/>
      <c r="F28" s="56"/>
      <c r="G28" s="57"/>
      <c r="H28" s="53"/>
      <c r="I28" s="57"/>
      <c r="J28" s="56"/>
      <c r="K28" s="57"/>
      <c r="L28" s="53"/>
      <c r="M28" s="57"/>
      <c r="N28" s="53"/>
      <c r="O28" s="57"/>
      <c r="P28" s="53"/>
      <c r="Q28" s="57"/>
      <c r="R28" s="56"/>
      <c r="S28" s="57"/>
      <c r="T28" s="53"/>
      <c r="U28" s="57"/>
    </row>
    <row r="29" customFormat="false" ht="12.75" hidden="false" customHeight="false" outlineLevel="0" collapsed="false">
      <c r="A29" s="25" t="n">
        <v>30</v>
      </c>
      <c r="B29" s="53"/>
      <c r="C29" s="57"/>
      <c r="D29" s="53"/>
      <c r="E29" s="57"/>
      <c r="F29" s="56"/>
      <c r="G29" s="57"/>
      <c r="H29" s="53"/>
      <c r="I29" s="57"/>
      <c r="J29" s="53"/>
      <c r="K29" s="57"/>
      <c r="L29" s="53"/>
      <c r="M29" s="57"/>
      <c r="N29" s="53"/>
      <c r="O29" s="57"/>
      <c r="P29" s="53"/>
      <c r="Q29" s="57"/>
      <c r="R29" s="53"/>
      <c r="S29" s="57"/>
      <c r="T29" s="53"/>
      <c r="U29" s="57"/>
    </row>
    <row r="30" customFormat="false" ht="12.75" hidden="false" customHeight="false" outlineLevel="0" collapsed="false">
      <c r="A30" s="25" t="n">
        <v>31</v>
      </c>
      <c r="B30" s="53"/>
      <c r="C30" s="57"/>
      <c r="D30" s="53"/>
      <c r="E30" s="57"/>
      <c r="F30" s="53"/>
      <c r="G30" s="57"/>
      <c r="H30" s="53"/>
      <c r="I30" s="57"/>
      <c r="J30" s="53"/>
      <c r="K30" s="57"/>
      <c r="L30" s="53"/>
      <c r="M30" s="57"/>
      <c r="N30" s="53"/>
      <c r="O30" s="57"/>
      <c r="P30" s="53"/>
      <c r="Q30" s="57"/>
      <c r="R30" s="56"/>
      <c r="S30" s="57"/>
      <c r="T30" s="53"/>
      <c r="U30" s="57"/>
    </row>
    <row r="31" customFormat="false" ht="12.75" hidden="false" customHeight="false" outlineLevel="0" collapsed="false">
      <c r="A31" s="25" t="n">
        <v>32</v>
      </c>
      <c r="B31" s="53"/>
      <c r="C31" s="57"/>
      <c r="D31" s="53"/>
      <c r="E31" s="57"/>
      <c r="G31" s="57"/>
      <c r="H31" s="53"/>
      <c r="I31" s="57"/>
      <c r="J31" s="53"/>
      <c r="K31" s="57"/>
      <c r="L31" s="53"/>
      <c r="M31" s="57"/>
      <c r="N31" s="53"/>
      <c r="O31" s="57"/>
      <c r="P31" s="53"/>
      <c r="Q31" s="57"/>
      <c r="R31" s="56"/>
      <c r="S31" s="57"/>
      <c r="T31" s="53"/>
      <c r="U31" s="57"/>
    </row>
    <row r="32" customFormat="false" ht="12.75" hidden="false" customHeight="false" outlineLevel="0" collapsed="false">
      <c r="A32" s="25" t="n">
        <v>33</v>
      </c>
      <c r="B32" s="53"/>
      <c r="C32" s="57"/>
      <c r="D32" s="53"/>
      <c r="E32" s="57"/>
      <c r="G32" s="57"/>
      <c r="H32" s="53"/>
      <c r="I32" s="57"/>
      <c r="J32" s="53"/>
      <c r="K32" s="57"/>
      <c r="L32" s="53"/>
      <c r="M32" s="57"/>
      <c r="N32" s="53"/>
      <c r="O32" s="57"/>
      <c r="P32" s="53"/>
      <c r="Q32" s="57"/>
      <c r="R32" s="56"/>
      <c r="S32" s="57"/>
      <c r="T32" s="53"/>
      <c r="U32" s="57"/>
    </row>
    <row r="33" customFormat="false" ht="12.75" hidden="false" customHeight="false" outlineLevel="0" collapsed="false">
      <c r="A33" s="25" t="n">
        <v>34</v>
      </c>
      <c r="B33" s="53"/>
      <c r="C33" s="57"/>
      <c r="D33" s="53"/>
      <c r="E33" s="57"/>
      <c r="F33" s="45"/>
      <c r="G33" s="57"/>
      <c r="H33" s="53"/>
      <c r="I33" s="57"/>
      <c r="J33" s="53"/>
      <c r="K33" s="57"/>
      <c r="L33" s="53"/>
      <c r="M33" s="57"/>
      <c r="N33" s="53"/>
      <c r="O33" s="57"/>
      <c r="P33" s="53"/>
      <c r="Q33" s="57"/>
      <c r="R33" s="56"/>
      <c r="S33" s="57"/>
      <c r="T33" s="53"/>
      <c r="U33" s="57"/>
    </row>
    <row r="34" customFormat="false" ht="12.75" hidden="false" customHeight="false" outlineLevel="0" collapsed="false">
      <c r="A34" s="25" t="n">
        <v>35</v>
      </c>
      <c r="B34" s="53"/>
      <c r="C34" s="57"/>
      <c r="D34" s="53"/>
      <c r="E34" s="57"/>
      <c r="F34" s="45"/>
      <c r="G34" s="57"/>
      <c r="H34" s="53"/>
      <c r="I34" s="57"/>
      <c r="J34" s="53"/>
      <c r="K34" s="57"/>
      <c r="L34" s="53"/>
      <c r="M34" s="57"/>
      <c r="N34" s="53"/>
      <c r="O34" s="57"/>
      <c r="P34" s="53"/>
      <c r="Q34" s="57"/>
      <c r="R34" s="56"/>
      <c r="S34" s="57"/>
      <c r="T34" s="53"/>
      <c r="U34" s="57"/>
    </row>
    <row r="35" customFormat="false" ht="12.75" hidden="false" customHeight="false" outlineLevel="0" collapsed="false">
      <c r="A35" s="58" t="n">
        <v>36</v>
      </c>
      <c r="B35" s="59"/>
      <c r="C35" s="60"/>
      <c r="D35" s="59"/>
      <c r="E35" s="60"/>
      <c r="F35" s="61"/>
      <c r="G35" s="60"/>
      <c r="H35" s="59"/>
      <c r="I35" s="60"/>
      <c r="J35" s="59"/>
      <c r="K35" s="60"/>
      <c r="L35" s="59"/>
      <c r="M35" s="60"/>
      <c r="N35" s="59"/>
      <c r="O35" s="60"/>
      <c r="P35" s="59"/>
      <c r="Q35" s="60"/>
      <c r="R35" s="62"/>
      <c r="S35" s="60"/>
      <c r="T35" s="59"/>
      <c r="U35" s="60"/>
    </row>
  </sheetData>
  <mergeCells count="16">
    <mergeCell ref="A3:A5"/>
    <mergeCell ref="B3:E3"/>
    <mergeCell ref="F3:I3"/>
    <mergeCell ref="J3:M3"/>
    <mergeCell ref="N3:Q3"/>
    <mergeCell ref="R3:U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00" activeCellId="0" sqref="C100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1" min="1" style="1" width="19"/>
    <col collapsed="false" customWidth="true" hidden="false" outlineLevel="0" max="3" min="3" style="1" width="26.14"/>
    <col collapsed="false" customWidth="true" hidden="false" outlineLevel="0" max="4" min="4" style="1" width="28.71"/>
  </cols>
  <sheetData>
    <row r="1" customFormat="false" ht="12.75" hidden="false" customHeight="false" outlineLevel="0" collapsed="false">
      <c r="A1" s="1" t="s">
        <v>152</v>
      </c>
    </row>
    <row r="3" customFormat="false" ht="12.75" hidden="false" customHeight="false" outlineLevel="0" collapsed="false">
      <c r="C3" s="63" t="s">
        <v>153</v>
      </c>
      <c r="D3" s="63"/>
    </row>
    <row r="4" customFormat="false" ht="12.75" hidden="false" customHeight="false" outlineLevel="0" collapsed="false">
      <c r="A4" s="64" t="s">
        <v>74</v>
      </c>
      <c r="B4" s="65" t="s">
        <v>75</v>
      </c>
      <c r="C4" s="66" t="s">
        <v>154</v>
      </c>
      <c r="D4" s="67" t="s">
        <v>155</v>
      </c>
    </row>
    <row r="5" customFormat="false" ht="12.75" hidden="false" customHeight="false" outlineLevel="0" collapsed="false">
      <c r="A5" s="68" t="s">
        <v>87</v>
      </c>
      <c r="B5" s="69" t="n">
        <v>1</v>
      </c>
      <c r="C5" s="70" t="n">
        <v>2471.5641227071</v>
      </c>
      <c r="D5" s="71" t="n">
        <v>2257.81814700872</v>
      </c>
    </row>
    <row r="6" customFormat="false" ht="12.75" hidden="false" customHeight="false" outlineLevel="0" collapsed="false">
      <c r="A6" s="72" t="s">
        <v>87</v>
      </c>
      <c r="B6" s="16" t="n">
        <v>2</v>
      </c>
      <c r="C6" s="17" t="n">
        <v>42.6131745294328</v>
      </c>
      <c r="D6" s="73" t="n">
        <v>0</v>
      </c>
    </row>
    <row r="7" customFormat="false" ht="12.75" hidden="false" customHeight="false" outlineLevel="0" collapsed="false">
      <c r="A7" s="72" t="s">
        <v>87</v>
      </c>
      <c r="B7" s="16" t="n">
        <v>3</v>
      </c>
      <c r="C7" s="17" t="n">
        <v>85.2263490588655</v>
      </c>
      <c r="D7" s="73" t="n">
        <v>0</v>
      </c>
    </row>
    <row r="8" customFormat="false" ht="12.75" hidden="false" customHeight="false" outlineLevel="0" collapsed="false">
      <c r="A8" s="72" t="s">
        <v>87</v>
      </c>
      <c r="B8" s="16" t="n">
        <v>4</v>
      </c>
      <c r="C8" s="17" t="n">
        <v>511.358094353193</v>
      </c>
      <c r="D8" s="73" t="n">
        <v>0</v>
      </c>
    </row>
    <row r="9" customFormat="false" ht="12.75" hidden="false" customHeight="false" outlineLevel="0" collapsed="false">
      <c r="A9" s="72" t="s">
        <v>87</v>
      </c>
      <c r="B9" s="16" t="n">
        <v>5</v>
      </c>
      <c r="C9" s="17" t="n">
        <v>1491.46110853015</v>
      </c>
      <c r="D9" s="73" t="n">
        <v>836.228943336562</v>
      </c>
    </row>
    <row r="10" customFormat="false" ht="12.75" hidden="false" customHeight="false" outlineLevel="0" collapsed="false">
      <c r="A10" s="72" t="s">
        <v>101</v>
      </c>
      <c r="B10" s="16" t="n">
        <v>6</v>
      </c>
      <c r="C10" s="17" t="n">
        <v>131.265907885643</v>
      </c>
      <c r="D10" s="73" t="n">
        <v>59.7124222618721</v>
      </c>
    </row>
    <row r="11" customFormat="false" ht="12.75" hidden="false" customHeight="false" outlineLevel="0" collapsed="false">
      <c r="A11" s="72" t="s">
        <v>87</v>
      </c>
      <c r="B11" s="16" t="n">
        <v>7</v>
      </c>
      <c r="C11" s="17" t="n">
        <v>2642.01682082483</v>
      </c>
      <c r="D11" s="73" t="n">
        <v>2425.06393567603</v>
      </c>
    </row>
    <row r="12" customFormat="false" ht="12.75" hidden="false" customHeight="false" outlineLevel="0" collapsed="false">
      <c r="A12" s="72" t="s">
        <v>87</v>
      </c>
      <c r="B12" s="16" t="n">
        <v>8</v>
      </c>
      <c r="C12" s="17" t="n">
        <v>2769.85634441313</v>
      </c>
      <c r="D12" s="73" t="n">
        <v>3094.04709034528</v>
      </c>
    </row>
    <row r="13" customFormat="false" ht="12.75" hidden="false" customHeight="false" outlineLevel="0" collapsed="false">
      <c r="A13" s="72" t="s">
        <v>87</v>
      </c>
      <c r="B13" s="16" t="n">
        <v>9</v>
      </c>
      <c r="C13" s="17" t="n">
        <v>383.518570764895</v>
      </c>
      <c r="D13" s="73" t="n">
        <v>0</v>
      </c>
    </row>
    <row r="14" customFormat="false" ht="12.75" hidden="false" customHeight="false" outlineLevel="0" collapsed="false">
      <c r="A14" s="72" t="s">
        <v>87</v>
      </c>
      <c r="B14" s="16" t="n">
        <v>10</v>
      </c>
      <c r="C14" s="17" t="n">
        <v>85.2263490588655</v>
      </c>
      <c r="D14" s="73" t="n">
        <v>919.851837670218</v>
      </c>
    </row>
    <row r="15" customFormat="false" ht="12.75" hidden="false" customHeight="false" outlineLevel="0" collapsed="false">
      <c r="A15" s="72" t="s">
        <v>101</v>
      </c>
      <c r="B15" s="16" t="n">
        <v>11</v>
      </c>
      <c r="C15" s="17" t="n">
        <v>11463.8892886794</v>
      </c>
      <c r="D15" s="73" t="n">
        <v>12420.1838304694</v>
      </c>
    </row>
    <row r="16" customFormat="false" ht="12.75" hidden="false" customHeight="false" outlineLevel="0" collapsed="false">
      <c r="A16" s="72" t="s">
        <v>101</v>
      </c>
      <c r="B16" s="16" t="n">
        <v>12</v>
      </c>
      <c r="C16" s="17" t="n">
        <v>0</v>
      </c>
      <c r="D16" s="73" t="n">
        <v>119.424844523744</v>
      </c>
    </row>
    <row r="17" customFormat="false" ht="12.75" hidden="false" customHeight="false" outlineLevel="0" collapsed="false">
      <c r="A17" s="72" t="s">
        <v>87</v>
      </c>
      <c r="B17" s="16" t="n">
        <v>13</v>
      </c>
      <c r="C17" s="17" t="n">
        <v>1704.52698117731</v>
      </c>
      <c r="D17" s="73" t="n">
        <v>836.228943336562</v>
      </c>
    </row>
    <row r="18" customFormat="false" ht="12.75" hidden="false" customHeight="false" outlineLevel="0" collapsed="false">
      <c r="A18" s="72" t="s">
        <v>87</v>
      </c>
      <c r="B18" s="16" t="n">
        <v>14</v>
      </c>
      <c r="C18" s="17" t="n">
        <v>2130.65872647164</v>
      </c>
      <c r="D18" s="73" t="n">
        <v>1337.9663093385</v>
      </c>
    </row>
    <row r="19" customFormat="false" ht="12.75" hidden="false" customHeight="false" outlineLevel="0" collapsed="false">
      <c r="A19" s="72" t="s">
        <v>87</v>
      </c>
      <c r="B19" s="16" t="n">
        <v>15</v>
      </c>
      <c r="C19" s="17" t="n">
        <v>1022.71618870639</v>
      </c>
      <c r="D19" s="73" t="n">
        <v>0</v>
      </c>
    </row>
    <row r="20" customFormat="false" ht="12.75" hidden="false" customHeight="false" outlineLevel="0" collapsed="false">
      <c r="A20" s="72" t="s">
        <v>87</v>
      </c>
      <c r="B20" s="16" t="n">
        <v>16</v>
      </c>
      <c r="C20" s="17" t="n">
        <v>426.131745294328</v>
      </c>
      <c r="D20" s="73" t="n">
        <v>1254.34341500484</v>
      </c>
    </row>
    <row r="21" customFormat="false" ht="12.75" hidden="false" customHeight="false" outlineLevel="0" collapsed="false">
      <c r="A21" s="72" t="s">
        <v>87</v>
      </c>
      <c r="B21" s="16" t="n">
        <v>17</v>
      </c>
      <c r="C21" s="17" t="n">
        <v>1065.32936323582</v>
      </c>
      <c r="D21" s="73" t="n">
        <v>1003.47473200387</v>
      </c>
    </row>
    <row r="22" customFormat="false" ht="12.75" hidden="false" customHeight="false" outlineLevel="0" collapsed="false">
      <c r="A22" s="72" t="s">
        <v>101</v>
      </c>
      <c r="B22" s="16" t="n">
        <v>18</v>
      </c>
      <c r="C22" s="17" t="n">
        <v>9757.4324861661</v>
      </c>
      <c r="D22" s="73" t="n">
        <v>7882.03973856712</v>
      </c>
    </row>
    <row r="23" customFormat="false" ht="12.75" hidden="false" customHeight="false" outlineLevel="0" collapsed="false">
      <c r="A23" s="72" t="s">
        <v>101</v>
      </c>
      <c r="B23" s="16" t="n">
        <v>19</v>
      </c>
      <c r="C23" s="17" t="n">
        <v>393.797723656928</v>
      </c>
      <c r="D23" s="73" t="n">
        <v>537.411800356849</v>
      </c>
    </row>
    <row r="24" customFormat="false" ht="12.75" hidden="false" customHeight="false" outlineLevel="0" collapsed="false">
      <c r="A24" s="72" t="s">
        <v>101</v>
      </c>
      <c r="B24" s="16" t="n">
        <v>20</v>
      </c>
      <c r="C24" s="17" t="n">
        <v>831.350749942403</v>
      </c>
      <c r="D24" s="73" t="n">
        <v>477.699378094977</v>
      </c>
    </row>
    <row r="25" customFormat="false" ht="12.75" hidden="false" customHeight="false" outlineLevel="0" collapsed="false">
      <c r="A25" s="72" t="s">
        <v>87</v>
      </c>
      <c r="B25" s="16" t="n">
        <v>21</v>
      </c>
      <c r="C25" s="17" t="n">
        <v>3195.98808970746</v>
      </c>
      <c r="D25" s="73" t="n">
        <v>3930.27603368184</v>
      </c>
    </row>
    <row r="26" customFormat="false" ht="12.75" hidden="false" customHeight="false" outlineLevel="0" collapsed="false">
      <c r="A26" s="72" t="s">
        <v>87</v>
      </c>
      <c r="B26" s="16" t="n">
        <v>22</v>
      </c>
      <c r="C26" s="17" t="n">
        <v>1704.52698117731</v>
      </c>
      <c r="D26" s="73" t="n">
        <v>919.851837670218</v>
      </c>
    </row>
    <row r="27" customFormat="false" ht="12.75" hidden="false" customHeight="false" outlineLevel="0" collapsed="false">
      <c r="A27" s="72" t="s">
        <v>87</v>
      </c>
      <c r="B27" s="16" t="n">
        <v>23</v>
      </c>
      <c r="C27" s="17" t="n">
        <v>170.452698117731</v>
      </c>
      <c r="D27" s="73" t="n">
        <v>0</v>
      </c>
    </row>
    <row r="28" customFormat="false" ht="12.75" hidden="false" customHeight="false" outlineLevel="0" collapsed="false">
      <c r="A28" s="72" t="s">
        <v>87</v>
      </c>
      <c r="B28" s="16" t="n">
        <v>24</v>
      </c>
      <c r="C28" s="17" t="n">
        <v>0</v>
      </c>
      <c r="D28" s="73" t="n">
        <v>0</v>
      </c>
    </row>
    <row r="29" customFormat="false" ht="12.75" hidden="false" customHeight="false" outlineLevel="0" collapsed="false">
      <c r="A29" s="72" t="s">
        <v>101</v>
      </c>
      <c r="B29" s="16" t="n">
        <v>25</v>
      </c>
      <c r="C29" s="17" t="n">
        <v>1706.45680251335</v>
      </c>
      <c r="D29" s="73" t="n">
        <v>716.549067142465</v>
      </c>
    </row>
    <row r="30" customFormat="false" ht="12.75" hidden="false" customHeight="false" outlineLevel="0" collapsed="false">
      <c r="A30" s="72" t="s">
        <v>101</v>
      </c>
      <c r="B30" s="16" t="n">
        <v>26</v>
      </c>
      <c r="C30" s="17" t="n">
        <v>1356.41438148497</v>
      </c>
      <c r="D30" s="73" t="n">
        <v>656.836644880593</v>
      </c>
    </row>
    <row r="31" customFormat="false" ht="12.75" hidden="false" customHeight="false" outlineLevel="0" collapsed="false">
      <c r="A31" s="72" t="s">
        <v>114</v>
      </c>
      <c r="B31" s="16" t="n">
        <v>27</v>
      </c>
      <c r="C31" s="17" t="n">
        <v>34.2867918283136</v>
      </c>
      <c r="D31" s="73" t="n">
        <v>0.739650551214102</v>
      </c>
    </row>
    <row r="32" customFormat="false" ht="12.75" hidden="false" customHeight="false" outlineLevel="0" collapsed="false">
      <c r="A32" s="72" t="s">
        <v>114</v>
      </c>
      <c r="B32" s="16" t="n">
        <v>28</v>
      </c>
      <c r="C32" s="17" t="n">
        <v>1028.60375484941</v>
      </c>
      <c r="D32" s="73" t="n">
        <v>0.739650551214102</v>
      </c>
    </row>
    <row r="33" customFormat="false" ht="12.75" hidden="false" customHeight="false" outlineLevel="0" collapsed="false">
      <c r="A33" s="72" t="s">
        <v>114</v>
      </c>
      <c r="B33" s="16" t="n">
        <v>29</v>
      </c>
      <c r="C33" s="17" t="n">
        <v>68.5735836566272</v>
      </c>
      <c r="D33" s="73" t="n">
        <v>44.3790330728461</v>
      </c>
    </row>
    <row r="34" customFormat="false" ht="12.75" hidden="false" customHeight="false" outlineLevel="0" collapsed="false">
      <c r="A34" s="72" t="s">
        <v>114</v>
      </c>
      <c r="B34" s="16" t="n">
        <v>31</v>
      </c>
      <c r="C34" s="17" t="n">
        <v>0</v>
      </c>
      <c r="D34" s="73" t="n">
        <v>0</v>
      </c>
    </row>
    <row r="35" customFormat="false" ht="12.75" hidden="false" customHeight="false" outlineLevel="0" collapsed="false">
      <c r="A35" s="72" t="s">
        <v>101</v>
      </c>
      <c r="B35" s="16" t="n">
        <v>32</v>
      </c>
      <c r="C35" s="17" t="n">
        <v>831.350749942403</v>
      </c>
      <c r="D35" s="73" t="n">
        <v>417.986955833105</v>
      </c>
    </row>
    <row r="36" customFormat="false" ht="12.75" hidden="false" customHeight="false" outlineLevel="0" collapsed="false">
      <c r="A36" s="72" t="s">
        <v>101</v>
      </c>
      <c r="B36" s="16" t="n">
        <v>33</v>
      </c>
      <c r="C36" s="17" t="n">
        <v>4331.7749602262</v>
      </c>
      <c r="D36" s="73" t="n">
        <v>1851.08509011803</v>
      </c>
    </row>
    <row r="37" customFormat="false" ht="12.75" hidden="false" customHeight="false" outlineLevel="0" collapsed="false">
      <c r="A37" s="72" t="s">
        <v>114</v>
      </c>
      <c r="B37" s="16" t="n">
        <v>34</v>
      </c>
      <c r="C37" s="17" t="n">
        <v>1371.47167313254</v>
      </c>
      <c r="D37" s="73" t="n">
        <v>88.7580661456922</v>
      </c>
    </row>
    <row r="38" customFormat="false" ht="12.75" hidden="false" customHeight="false" outlineLevel="0" collapsed="false">
      <c r="A38" s="72" t="s">
        <v>114</v>
      </c>
      <c r="B38" s="16" t="n">
        <v>35</v>
      </c>
      <c r="C38" s="17" t="n">
        <v>1371.47167313254</v>
      </c>
      <c r="D38" s="73" t="n">
        <v>7.39650551214102</v>
      </c>
    </row>
    <row r="39" customFormat="false" ht="12.75" hidden="false" customHeight="false" outlineLevel="0" collapsed="false">
      <c r="A39" s="72" t="s">
        <v>114</v>
      </c>
      <c r="B39" s="16" t="n">
        <v>36</v>
      </c>
      <c r="C39" s="17" t="n">
        <v>685.735836566272</v>
      </c>
      <c r="D39" s="73" t="n">
        <v>88.7580661456922</v>
      </c>
    </row>
    <row r="40" customFormat="false" ht="12.75" hidden="false" customHeight="false" outlineLevel="0" collapsed="false">
      <c r="A40" s="72" t="s">
        <v>114</v>
      </c>
      <c r="B40" s="16" t="n">
        <v>37</v>
      </c>
      <c r="C40" s="17" t="n">
        <v>137.147167313254</v>
      </c>
      <c r="D40" s="73" t="n">
        <v>7.39650551214102</v>
      </c>
    </row>
    <row r="41" customFormat="false" ht="12.75" hidden="false" customHeight="false" outlineLevel="0" collapsed="false">
      <c r="A41" s="72" t="s">
        <v>114</v>
      </c>
      <c r="B41" s="16" t="n">
        <v>39</v>
      </c>
      <c r="C41" s="17" t="n">
        <v>205.720750969882</v>
      </c>
      <c r="D41" s="73" t="n">
        <v>103.551077169974</v>
      </c>
    </row>
    <row r="42" customFormat="false" ht="12.75" hidden="false" customHeight="false" outlineLevel="0" collapsed="false">
      <c r="A42" s="72" t="s">
        <v>101</v>
      </c>
      <c r="B42" s="16" t="n">
        <v>40</v>
      </c>
      <c r="C42" s="17" t="n">
        <v>3762.95602605509</v>
      </c>
      <c r="D42" s="73" t="n">
        <v>2030.22235690365</v>
      </c>
    </row>
    <row r="43" customFormat="false" ht="12.75" hidden="false" customHeight="false" outlineLevel="0" collapsed="false">
      <c r="A43" s="72" t="s">
        <v>114</v>
      </c>
      <c r="B43" s="16" t="n">
        <v>41</v>
      </c>
      <c r="C43" s="17" t="n">
        <v>2982.95088906328</v>
      </c>
      <c r="D43" s="73" t="n">
        <v>207.102154339948</v>
      </c>
    </row>
    <row r="44" customFormat="false" ht="12.75" hidden="false" customHeight="false" outlineLevel="0" collapsed="false">
      <c r="A44" s="72" t="s">
        <v>114</v>
      </c>
      <c r="B44" s="16" t="n">
        <v>42</v>
      </c>
      <c r="C44" s="17" t="n">
        <v>6857.35836566272</v>
      </c>
      <c r="D44" s="73" t="n">
        <v>207.102154339948</v>
      </c>
    </row>
    <row r="45" customFormat="false" ht="12.75" hidden="false" customHeight="false" outlineLevel="0" collapsed="false">
      <c r="A45" s="72" t="s">
        <v>114</v>
      </c>
      <c r="B45" s="16" t="n">
        <v>43</v>
      </c>
      <c r="C45" s="17" t="n">
        <v>1371.47167313254</v>
      </c>
      <c r="D45" s="73" t="n">
        <v>88.7580661456922</v>
      </c>
    </row>
    <row r="46" customFormat="false" ht="12.75" hidden="false" customHeight="false" outlineLevel="0" collapsed="false">
      <c r="A46" s="72" t="s">
        <v>114</v>
      </c>
      <c r="B46" s="16" t="n">
        <v>44</v>
      </c>
      <c r="C46" s="17" t="n">
        <v>3.42867918283136</v>
      </c>
      <c r="D46" s="73" t="n">
        <v>0.739650551214102</v>
      </c>
    </row>
    <row r="47" customFormat="false" ht="12.75" hidden="false" customHeight="false" outlineLevel="0" collapsed="false">
      <c r="A47" s="72" t="s">
        <v>114</v>
      </c>
      <c r="B47" s="16" t="n">
        <v>45</v>
      </c>
      <c r="C47" s="17" t="n">
        <v>994.316963021094</v>
      </c>
      <c r="D47" s="73" t="n">
        <v>103.551077169974</v>
      </c>
    </row>
    <row r="48" customFormat="false" ht="12.75" hidden="false" customHeight="false" outlineLevel="0" collapsed="false">
      <c r="A48" s="72" t="s">
        <v>114</v>
      </c>
      <c r="B48" s="16" t="n">
        <v>46</v>
      </c>
      <c r="C48" s="17" t="n">
        <v>0</v>
      </c>
      <c r="D48" s="73" t="n">
        <v>0</v>
      </c>
    </row>
    <row r="49" customFormat="false" ht="12.75" hidden="false" customHeight="false" outlineLevel="0" collapsed="false">
      <c r="A49" s="72" t="s">
        <v>114</v>
      </c>
      <c r="B49" s="16" t="n">
        <v>47</v>
      </c>
      <c r="C49" s="17" t="n">
        <v>3291.53201551811</v>
      </c>
      <c r="D49" s="73" t="n">
        <v>362.42877009491</v>
      </c>
    </row>
    <row r="50" customFormat="false" ht="12.75" hidden="false" customHeight="false" outlineLevel="0" collapsed="false">
      <c r="A50" s="72" t="s">
        <v>114</v>
      </c>
      <c r="B50" s="16" t="n">
        <v>48</v>
      </c>
      <c r="C50" s="17" t="n">
        <v>2982.95088906328</v>
      </c>
      <c r="D50" s="73" t="n">
        <v>110.947582682115</v>
      </c>
    </row>
    <row r="51" customFormat="false" ht="12.75" hidden="false" customHeight="false" outlineLevel="0" collapsed="false">
      <c r="A51" s="72" t="s">
        <v>114</v>
      </c>
      <c r="B51" s="16" t="n">
        <v>49</v>
      </c>
      <c r="C51" s="17" t="n">
        <v>15086.188404458</v>
      </c>
      <c r="D51" s="73" t="n">
        <v>421.600814192038</v>
      </c>
    </row>
    <row r="52" customFormat="false" ht="12.75" hidden="false" customHeight="false" outlineLevel="0" collapsed="false">
      <c r="A52" s="72" t="s">
        <v>114</v>
      </c>
      <c r="B52" s="16" t="n">
        <v>50</v>
      </c>
      <c r="C52" s="17" t="n">
        <v>1714.33959141568</v>
      </c>
      <c r="D52" s="73" t="n">
        <v>133.137099218538</v>
      </c>
    </row>
    <row r="53" customFormat="false" ht="12.75" hidden="false" customHeight="false" outlineLevel="0" collapsed="false">
      <c r="A53" s="72" t="s">
        <v>114</v>
      </c>
      <c r="B53" s="16" t="n">
        <v>51</v>
      </c>
      <c r="C53" s="17" t="n">
        <v>0</v>
      </c>
      <c r="D53" s="73" t="n">
        <v>0</v>
      </c>
    </row>
    <row r="54" customFormat="false" ht="12.75" hidden="false" customHeight="false" outlineLevel="0" collapsed="false">
      <c r="A54" s="72" t="s">
        <v>114</v>
      </c>
      <c r="B54" s="16" t="n">
        <v>52</v>
      </c>
      <c r="C54" s="17" t="n">
        <v>0</v>
      </c>
      <c r="D54" s="73" t="n">
        <v>0</v>
      </c>
    </row>
    <row r="55" customFormat="false" ht="12.75" hidden="false" customHeight="false" outlineLevel="0" collapsed="false">
      <c r="A55" s="72" t="s">
        <v>114</v>
      </c>
      <c r="B55" s="16" t="n">
        <v>53</v>
      </c>
      <c r="C55" s="17" t="n">
        <v>1885.77355055725</v>
      </c>
      <c r="D55" s="73" t="n">
        <v>192.309143315666</v>
      </c>
    </row>
    <row r="56" customFormat="false" ht="12.75" hidden="false" customHeight="false" outlineLevel="0" collapsed="false">
      <c r="A56" s="72" t="s">
        <v>114</v>
      </c>
      <c r="B56" s="16" t="n">
        <v>54</v>
      </c>
      <c r="C56" s="17" t="n">
        <v>9908.88283838263</v>
      </c>
      <c r="D56" s="73" t="n">
        <v>340.239253558487</v>
      </c>
    </row>
    <row r="57" customFormat="false" ht="12.75" hidden="false" customHeight="false" outlineLevel="0" collapsed="false">
      <c r="A57" s="72" t="s">
        <v>114</v>
      </c>
      <c r="B57" s="16" t="n">
        <v>55</v>
      </c>
      <c r="C57" s="17" t="n">
        <v>3428.67918283136</v>
      </c>
      <c r="D57" s="73" t="n">
        <v>14.793011024282</v>
      </c>
    </row>
    <row r="58" customFormat="false" ht="12.75" hidden="false" customHeight="false" outlineLevel="0" collapsed="false">
      <c r="A58" s="72" t="s">
        <v>114</v>
      </c>
      <c r="B58" s="16" t="n">
        <v>56</v>
      </c>
      <c r="C58" s="17" t="n">
        <v>3.42867918283136</v>
      </c>
      <c r="D58" s="73" t="n">
        <v>0.739650551214102</v>
      </c>
    </row>
    <row r="59" customFormat="false" ht="12.75" hidden="false" customHeight="false" outlineLevel="0" collapsed="false">
      <c r="A59" s="72" t="s">
        <v>114</v>
      </c>
      <c r="B59" s="16" t="n">
        <v>57</v>
      </c>
      <c r="C59" s="17" t="n">
        <v>0</v>
      </c>
      <c r="D59" s="73" t="n">
        <v>0</v>
      </c>
    </row>
    <row r="60" customFormat="false" ht="12.75" hidden="false" customHeight="false" outlineLevel="0" collapsed="false">
      <c r="A60" s="72" t="s">
        <v>114</v>
      </c>
      <c r="B60" s="16" t="n">
        <v>58</v>
      </c>
      <c r="C60" s="17" t="n">
        <v>0</v>
      </c>
      <c r="D60" s="73" t="n">
        <v>51.7755385849871</v>
      </c>
    </row>
    <row r="61" customFormat="false" ht="12.75" hidden="false" customHeight="false" outlineLevel="0" collapsed="false">
      <c r="A61" s="72" t="s">
        <v>114</v>
      </c>
      <c r="B61" s="16" t="n">
        <v>59</v>
      </c>
      <c r="C61" s="17" t="n">
        <v>8263.11683062358</v>
      </c>
      <c r="D61" s="73" t="n">
        <v>769.236573262666</v>
      </c>
    </row>
    <row r="62" customFormat="false" ht="12.75" hidden="false" customHeight="false" outlineLevel="0" collapsed="false">
      <c r="A62" s="72" t="s">
        <v>114</v>
      </c>
      <c r="B62" s="16" t="n">
        <v>60</v>
      </c>
      <c r="C62" s="17" t="n">
        <v>0</v>
      </c>
      <c r="D62" s="73" t="n">
        <v>14.793011024282</v>
      </c>
    </row>
    <row r="63" customFormat="false" ht="12.75" hidden="false" customHeight="false" outlineLevel="0" collapsed="false">
      <c r="A63" s="72" t="s">
        <v>114</v>
      </c>
      <c r="B63" s="16" t="n">
        <v>61</v>
      </c>
      <c r="C63" s="17" t="n">
        <v>377.15471011145</v>
      </c>
      <c r="D63" s="73" t="n">
        <v>59.1720440971281</v>
      </c>
    </row>
    <row r="64" customFormat="false" ht="12.75" hidden="false" customHeight="false" outlineLevel="0" collapsed="false">
      <c r="A64" s="74" t="s">
        <v>114</v>
      </c>
      <c r="B64" s="16" t="n">
        <v>62</v>
      </c>
      <c r="C64" s="17" t="n">
        <v>0</v>
      </c>
      <c r="D64" s="73" t="n">
        <v>0</v>
      </c>
    </row>
    <row r="65" customFormat="false" ht="12.75" hidden="false" customHeight="false" outlineLevel="0" collapsed="false">
      <c r="A65" s="72" t="s">
        <v>114</v>
      </c>
      <c r="B65" s="16" t="n">
        <v>63</v>
      </c>
      <c r="C65" s="17" t="n">
        <v>0</v>
      </c>
      <c r="D65" s="73" t="n">
        <v>0</v>
      </c>
    </row>
    <row r="66" customFormat="false" ht="12.75" hidden="false" customHeight="false" outlineLevel="0" collapsed="false">
      <c r="A66" s="72" t="s">
        <v>114</v>
      </c>
      <c r="B66" s="16" t="n">
        <v>64</v>
      </c>
      <c r="C66" s="17" t="n">
        <v>0</v>
      </c>
      <c r="D66" s="73" t="n">
        <v>14.793011024282</v>
      </c>
    </row>
    <row r="67" customFormat="false" ht="12.75" hidden="false" customHeight="false" outlineLevel="0" collapsed="false">
      <c r="A67" s="72" t="s">
        <v>124</v>
      </c>
      <c r="B67" s="16" t="n">
        <v>65</v>
      </c>
      <c r="C67" s="17" t="n">
        <v>0</v>
      </c>
      <c r="D67" s="73" t="n">
        <v>103.066946249159</v>
      </c>
    </row>
    <row r="68" customFormat="false" ht="12.75" hidden="false" customHeight="false" outlineLevel="0" collapsed="false">
      <c r="A68" s="72" t="s">
        <v>124</v>
      </c>
      <c r="B68" s="16" t="n">
        <v>66</v>
      </c>
      <c r="C68" s="17" t="n">
        <v>4279.91944006494</v>
      </c>
      <c r="D68" s="73" t="n">
        <v>2576.67365622897</v>
      </c>
    </row>
    <row r="69" customFormat="false" ht="12.75" hidden="false" customHeight="false" outlineLevel="0" collapsed="false">
      <c r="A69" s="72" t="s">
        <v>124</v>
      </c>
      <c r="B69" s="16" t="n">
        <v>67</v>
      </c>
      <c r="C69" s="17" t="n">
        <v>622.533736736719</v>
      </c>
      <c r="D69" s="73" t="n">
        <v>154.600419373738</v>
      </c>
    </row>
    <row r="70" customFormat="false" ht="12.75" hidden="false" customHeight="false" outlineLevel="0" collapsed="false">
      <c r="A70" s="72" t="s">
        <v>124</v>
      </c>
      <c r="B70" s="16" t="n">
        <v>68</v>
      </c>
      <c r="C70" s="17" t="n">
        <v>38.9083585460449</v>
      </c>
      <c r="D70" s="73" t="n">
        <v>360.734311872056</v>
      </c>
    </row>
    <row r="71" customFormat="false" ht="12.75" hidden="false" customHeight="false" outlineLevel="0" collapsed="false">
      <c r="A71" s="72" t="s">
        <v>124</v>
      </c>
      <c r="B71" s="16" t="n">
        <v>70</v>
      </c>
      <c r="C71" s="17" t="n">
        <v>1750.87613457202</v>
      </c>
      <c r="D71" s="73" t="n">
        <v>309.200838747477</v>
      </c>
    </row>
    <row r="72" customFormat="false" ht="12.75" hidden="false" customHeight="false" outlineLevel="0" collapsed="false">
      <c r="A72" s="72" t="s">
        <v>124</v>
      </c>
      <c r="B72" s="16" t="n">
        <v>71</v>
      </c>
      <c r="C72" s="17" t="n">
        <v>3112.66868368359</v>
      </c>
      <c r="D72" s="73" t="n">
        <v>618.401677494954</v>
      </c>
    </row>
    <row r="73" customFormat="false" ht="12.75" hidden="false" customHeight="false" outlineLevel="0" collapsed="false">
      <c r="A73" s="72" t="s">
        <v>124</v>
      </c>
      <c r="B73" s="16" t="n">
        <v>72</v>
      </c>
      <c r="C73" s="17" t="n">
        <v>0</v>
      </c>
      <c r="D73" s="73" t="n">
        <v>0</v>
      </c>
    </row>
    <row r="74" customFormat="false" ht="12.75" hidden="false" customHeight="false" outlineLevel="0" collapsed="false">
      <c r="A74" s="72" t="s">
        <v>124</v>
      </c>
      <c r="B74" s="16" t="n">
        <v>73</v>
      </c>
      <c r="C74" s="17" t="n">
        <v>11088.8821856228</v>
      </c>
      <c r="D74" s="73" t="n">
        <v>4895.67994683505</v>
      </c>
    </row>
    <row r="75" customFormat="false" ht="12.75" hidden="false" customHeight="false" outlineLevel="0" collapsed="false">
      <c r="A75" s="72" t="s">
        <v>124</v>
      </c>
      <c r="B75" s="16" t="n">
        <v>74</v>
      </c>
      <c r="C75" s="17" t="n">
        <v>8832.1973899522</v>
      </c>
      <c r="D75" s="73" t="n">
        <v>1700.60461311112</v>
      </c>
    </row>
    <row r="76" customFormat="false" ht="12.75" hidden="false" customHeight="false" outlineLevel="0" collapsed="false">
      <c r="A76" s="72" t="s">
        <v>124</v>
      </c>
      <c r="B76" s="16" t="n">
        <v>75</v>
      </c>
      <c r="C76" s="17" t="n">
        <v>3890.83585460449</v>
      </c>
      <c r="D76" s="73" t="n">
        <v>1339.87030123907</v>
      </c>
    </row>
    <row r="77" customFormat="false" ht="12.75" hidden="false" customHeight="false" outlineLevel="0" collapsed="false">
      <c r="A77" s="72" t="s">
        <v>124</v>
      </c>
      <c r="B77" s="16" t="n">
        <v>76</v>
      </c>
      <c r="C77" s="17" t="n">
        <v>1167.25075638135</v>
      </c>
      <c r="D77" s="73" t="n">
        <v>824.535569993272</v>
      </c>
    </row>
    <row r="78" customFormat="false" ht="12.75" hidden="false" customHeight="false" outlineLevel="0" collapsed="false">
      <c r="A78" s="72" t="s">
        <v>124</v>
      </c>
      <c r="B78" s="16" t="n">
        <v>77</v>
      </c>
      <c r="C78" s="17" t="n">
        <v>14979.7180402273</v>
      </c>
      <c r="D78" s="73" t="n">
        <v>2576.67365622897</v>
      </c>
    </row>
    <row r="79" customFormat="false" ht="12.75" hidden="false" customHeight="false" outlineLevel="0" collapsed="false">
      <c r="A79" s="72" t="s">
        <v>124</v>
      </c>
      <c r="B79" s="16" t="n">
        <v>78</v>
      </c>
      <c r="C79" s="17" t="n">
        <v>5719.5287062686</v>
      </c>
      <c r="D79" s="73" t="n">
        <v>3761.9435380943</v>
      </c>
    </row>
    <row r="80" customFormat="false" ht="12.75" hidden="false" customHeight="false" outlineLevel="0" collapsed="false">
      <c r="A80" s="72" t="s">
        <v>124</v>
      </c>
      <c r="B80" s="16" t="n">
        <v>79</v>
      </c>
      <c r="C80" s="17" t="n">
        <v>5058.08661098584</v>
      </c>
      <c r="D80" s="73" t="n">
        <v>3349.67575309767</v>
      </c>
    </row>
    <row r="81" customFormat="false" ht="12.75" hidden="false" customHeight="false" outlineLevel="0" collapsed="false">
      <c r="A81" s="72" t="s">
        <v>124</v>
      </c>
      <c r="B81" s="16" t="n">
        <v>80</v>
      </c>
      <c r="C81" s="17" t="n">
        <v>77.8167170920899</v>
      </c>
      <c r="D81" s="73" t="n">
        <v>51.5334731245795</v>
      </c>
    </row>
    <row r="82" customFormat="false" ht="12.75" hidden="false" customHeight="false" outlineLevel="0" collapsed="false">
      <c r="A82" s="72" t="s">
        <v>124</v>
      </c>
      <c r="B82" s="16" t="n">
        <v>81</v>
      </c>
      <c r="C82" s="17" t="n">
        <v>155.63343418418</v>
      </c>
      <c r="D82" s="73" t="n">
        <v>1030.66946249159</v>
      </c>
    </row>
    <row r="83" customFormat="false" ht="12.75" hidden="false" customHeight="false" outlineLevel="0" collapsed="false">
      <c r="A83" s="72" t="s">
        <v>124</v>
      </c>
      <c r="B83" s="16" t="n">
        <v>82</v>
      </c>
      <c r="C83" s="17" t="n">
        <v>5641.71198917651</v>
      </c>
      <c r="D83" s="73" t="n">
        <v>5668.68204370374</v>
      </c>
    </row>
    <row r="84" customFormat="false" ht="12.75" hidden="false" customHeight="false" outlineLevel="0" collapsed="false">
      <c r="A84" s="72" t="s">
        <v>124</v>
      </c>
      <c r="B84" s="16" t="n">
        <v>83</v>
      </c>
      <c r="C84" s="17" t="n">
        <v>22761.3897494363</v>
      </c>
      <c r="D84" s="73" t="n">
        <v>7987.68833430982</v>
      </c>
    </row>
    <row r="85" customFormat="false" ht="12.75" hidden="false" customHeight="false" outlineLevel="0" collapsed="false">
      <c r="A85" s="72" t="s">
        <v>128</v>
      </c>
      <c r="B85" s="16" t="n">
        <v>84</v>
      </c>
      <c r="C85" s="17" t="n">
        <v>18993.203986229</v>
      </c>
      <c r="D85" s="73" t="n">
        <v>6673.51612763761</v>
      </c>
    </row>
    <row r="86" customFormat="false" ht="12.75" hidden="false" customHeight="false" outlineLevel="0" collapsed="false">
      <c r="A86" s="72" t="s">
        <v>128</v>
      </c>
      <c r="B86" s="16" t="n">
        <v>85</v>
      </c>
      <c r="C86" s="17" t="n">
        <v>21385.6641284532</v>
      </c>
      <c r="D86" s="73" t="n">
        <v>9138.50857117943</v>
      </c>
    </row>
    <row r="87" customFormat="false" ht="12.75" hidden="false" customHeight="false" outlineLevel="0" collapsed="false">
      <c r="A87" s="72" t="s">
        <v>128</v>
      </c>
      <c r="B87" s="16" t="n">
        <v>86</v>
      </c>
      <c r="C87" s="17" t="n">
        <v>2148.33155628297</v>
      </c>
      <c r="D87" s="73" t="n">
        <v>3066.21011269836</v>
      </c>
    </row>
    <row r="88" customFormat="false" ht="12.75" hidden="false" customHeight="false" outlineLevel="0" collapsed="false">
      <c r="A88" s="72" t="s">
        <v>128</v>
      </c>
      <c r="B88" s="16" t="n">
        <v>87</v>
      </c>
      <c r="C88" s="17" t="n">
        <v>9521.01485170863</v>
      </c>
      <c r="D88" s="73" t="n">
        <v>4509.13251867406</v>
      </c>
    </row>
    <row r="89" customFormat="false" ht="12.75" hidden="false" customHeight="false" outlineLevel="0" collapsed="false">
      <c r="A89" s="72" t="s">
        <v>128</v>
      </c>
      <c r="B89" s="16" t="n">
        <v>88</v>
      </c>
      <c r="C89" s="17" t="n">
        <v>0</v>
      </c>
      <c r="D89" s="73" t="n">
        <v>0</v>
      </c>
    </row>
    <row r="90" customFormat="false" ht="12.75" hidden="false" customHeight="false" outlineLevel="0" collapsed="false">
      <c r="A90" s="75" t="s">
        <v>129</v>
      </c>
      <c r="B90" s="76" t="n">
        <v>89</v>
      </c>
      <c r="C90" s="17" t="e">
        <f aca="false">#N/A</f>
        <v>#N/A</v>
      </c>
      <c r="D90" s="73" t="e">
        <f aca="false">#N/A</f>
        <v>#N/A</v>
      </c>
    </row>
    <row r="91" customFormat="false" ht="12.75" hidden="false" customHeight="false" outlineLevel="0" collapsed="false">
      <c r="A91" s="77"/>
      <c r="B91" s="77"/>
      <c r="C91" s="17"/>
      <c r="D91" s="17"/>
    </row>
    <row r="92" customFormat="false" ht="12.75" hidden="false" customHeight="false" outlineLevel="0" collapsed="false">
      <c r="A92" s="77"/>
      <c r="B92" s="77"/>
      <c r="C92" s="17"/>
      <c r="D92" s="17"/>
    </row>
    <row r="93" customFormat="false" ht="12.75" hidden="false" customHeight="false" outlineLevel="0" collapsed="false">
      <c r="A93" s="77"/>
      <c r="B93" s="77"/>
      <c r="C93" s="17"/>
      <c r="D93" s="17"/>
    </row>
    <row r="94" customFormat="false" ht="12.75" hidden="false" customHeight="false" outlineLevel="0" collapsed="false">
      <c r="A94" s="77"/>
      <c r="B94" s="77"/>
      <c r="C94" s="17"/>
      <c r="D94" s="17"/>
    </row>
    <row r="95" customFormat="false" ht="12.75" hidden="false" customHeight="false" outlineLevel="0" collapsed="false">
      <c r="A95" s="77"/>
      <c r="B95" s="77"/>
      <c r="C95" s="17"/>
      <c r="D95" s="17"/>
    </row>
    <row r="96" customFormat="false" ht="12.75" hidden="false" customHeight="false" outlineLevel="0" collapsed="false">
      <c r="A96" s="77"/>
      <c r="B96" s="77"/>
      <c r="C96" s="17"/>
      <c r="D96" s="17"/>
    </row>
    <row r="97" customFormat="false" ht="12.75" hidden="false" customHeight="false" outlineLevel="0" collapsed="false">
      <c r="A97" s="77"/>
      <c r="B97" s="77"/>
      <c r="C97" s="17"/>
      <c r="D97" s="17"/>
    </row>
    <row r="98" customFormat="false" ht="12.75" hidden="false" customHeight="false" outlineLevel="0" collapsed="false">
      <c r="A98" s="77"/>
      <c r="B98" s="77"/>
      <c r="C98" s="17"/>
      <c r="D98" s="17"/>
    </row>
    <row r="99" customFormat="false" ht="12.75" hidden="false" customHeight="false" outlineLevel="0" collapsed="false">
      <c r="A99" s="77"/>
      <c r="B99" s="77"/>
      <c r="C99" s="17"/>
      <c r="D99" s="17"/>
    </row>
    <row r="100" customFormat="false" ht="12.75" hidden="false" customHeight="false" outlineLevel="0" collapsed="false">
      <c r="A100" s="77"/>
      <c r="B100" s="77"/>
      <c r="C100" s="17"/>
      <c r="D100" s="17"/>
    </row>
    <row r="101" customFormat="false" ht="12.75" hidden="false" customHeight="false" outlineLevel="0" collapsed="false">
      <c r="A101" s="77"/>
      <c r="B101" s="77"/>
      <c r="C101" s="17"/>
      <c r="D101" s="17"/>
    </row>
    <row r="102" customFormat="false" ht="12.75" hidden="false" customHeight="false" outlineLevel="0" collapsed="false">
      <c r="A102" s="77"/>
      <c r="B102" s="77"/>
      <c r="C102" s="17"/>
      <c r="D102" s="17"/>
    </row>
    <row r="103" customFormat="false" ht="12.75" hidden="false" customHeight="false" outlineLevel="0" collapsed="false">
      <c r="A103" s="77"/>
      <c r="B103" s="77"/>
      <c r="C103" s="17"/>
      <c r="D103" s="17"/>
    </row>
    <row r="104" customFormat="false" ht="12.75" hidden="false" customHeight="false" outlineLevel="0" collapsed="false">
      <c r="A104" s="77"/>
      <c r="B104" s="77"/>
      <c r="C104" s="17"/>
      <c r="D104" s="17"/>
    </row>
    <row r="105" customFormat="false" ht="12.75" hidden="false" customHeight="false" outlineLevel="0" collapsed="false">
      <c r="A105" s="77"/>
      <c r="B105" s="77"/>
      <c r="C105" s="17"/>
      <c r="D105" s="17"/>
    </row>
    <row r="106" customFormat="false" ht="12.75" hidden="false" customHeight="false" outlineLevel="0" collapsed="false">
      <c r="A106" s="77"/>
      <c r="B106" s="77"/>
      <c r="C106" s="17"/>
      <c r="D106" s="17"/>
    </row>
    <row r="107" customFormat="false" ht="12.75" hidden="false" customHeight="false" outlineLevel="0" collapsed="false">
      <c r="A107" s="77"/>
      <c r="B107" s="77"/>
      <c r="C107" s="17"/>
      <c r="D107" s="17"/>
    </row>
    <row r="108" customFormat="false" ht="12.75" hidden="false" customHeight="false" outlineLevel="0" collapsed="false">
      <c r="A108" s="77"/>
      <c r="B108" s="77"/>
      <c r="C108" s="17"/>
      <c r="D108" s="17"/>
    </row>
    <row r="109" customFormat="false" ht="12.75" hidden="false" customHeight="false" outlineLevel="0" collapsed="false">
      <c r="A109" s="77"/>
      <c r="B109" s="77"/>
      <c r="C109" s="17"/>
      <c r="D109" s="17"/>
    </row>
    <row r="110" customFormat="false" ht="12.75" hidden="false" customHeight="false" outlineLevel="0" collapsed="false">
      <c r="A110" s="77"/>
      <c r="B110" s="77"/>
      <c r="C110" s="17"/>
      <c r="D110" s="17"/>
    </row>
    <row r="111" customFormat="false" ht="12.75" hidden="false" customHeight="false" outlineLevel="0" collapsed="false">
      <c r="A111" s="77"/>
      <c r="B111" s="77"/>
      <c r="C111" s="17"/>
      <c r="D111" s="17"/>
    </row>
    <row r="112" customFormat="false" ht="12.75" hidden="false" customHeight="false" outlineLevel="0" collapsed="false">
      <c r="A112" s="77"/>
      <c r="B112" s="77"/>
      <c r="C112" s="17"/>
      <c r="D112" s="17"/>
    </row>
    <row r="113" customFormat="false" ht="12.75" hidden="false" customHeight="false" outlineLevel="0" collapsed="false">
      <c r="A113" s="77"/>
      <c r="B113" s="77"/>
      <c r="C113" s="17"/>
      <c r="D113" s="17"/>
    </row>
    <row r="114" customFormat="false" ht="12.75" hidden="false" customHeight="false" outlineLevel="0" collapsed="false">
      <c r="A114" s="77"/>
      <c r="B114" s="77"/>
      <c r="C114" s="17"/>
      <c r="D114" s="17"/>
    </row>
    <row r="115" customFormat="false" ht="12.75" hidden="false" customHeight="false" outlineLevel="0" collapsed="false">
      <c r="A115" s="77"/>
      <c r="B115" s="77"/>
      <c r="C115" s="17"/>
      <c r="D115" s="17"/>
    </row>
    <row r="116" customFormat="false" ht="12.75" hidden="false" customHeight="false" outlineLevel="0" collapsed="false">
      <c r="A116" s="77"/>
      <c r="B116" s="77"/>
      <c r="C116" s="17"/>
      <c r="D116" s="17"/>
    </row>
    <row r="117" customFormat="false" ht="12.75" hidden="false" customHeight="false" outlineLevel="0" collapsed="false">
      <c r="A117" s="77"/>
      <c r="B117" s="77"/>
      <c r="C117" s="17"/>
      <c r="D117" s="17"/>
    </row>
    <row r="118" customFormat="false" ht="12.75" hidden="false" customHeight="false" outlineLevel="0" collapsed="false">
      <c r="A118" s="77"/>
      <c r="B118" s="77"/>
      <c r="C118" s="17"/>
      <c r="D118" s="17"/>
    </row>
    <row r="119" customFormat="false" ht="12.75" hidden="false" customHeight="false" outlineLevel="0" collapsed="false">
      <c r="A119" s="77"/>
      <c r="B119" s="77"/>
      <c r="C119" s="17"/>
      <c r="D119" s="17"/>
    </row>
    <row r="120" customFormat="false" ht="12.75" hidden="false" customHeight="false" outlineLevel="0" collapsed="false">
      <c r="A120" s="77"/>
      <c r="B120" s="77"/>
      <c r="C120" s="17"/>
      <c r="D120" s="17"/>
    </row>
    <row r="121" customFormat="false" ht="12.75" hidden="false" customHeight="false" outlineLevel="0" collapsed="false">
      <c r="A121" s="77"/>
      <c r="B121" s="77"/>
      <c r="C121" s="17"/>
      <c r="D121" s="17"/>
    </row>
    <row r="122" customFormat="false" ht="12.75" hidden="false" customHeight="false" outlineLevel="0" collapsed="false">
      <c r="A122" s="77"/>
      <c r="B122" s="77"/>
      <c r="C122" s="17"/>
      <c r="D122" s="17"/>
    </row>
    <row r="123" customFormat="false" ht="12.75" hidden="false" customHeight="false" outlineLevel="0" collapsed="false">
      <c r="A123" s="77"/>
      <c r="B123" s="77"/>
      <c r="C123" s="17"/>
      <c r="D123" s="17"/>
    </row>
    <row r="124" customFormat="false" ht="12.75" hidden="false" customHeight="false" outlineLevel="0" collapsed="false">
      <c r="A124" s="77"/>
      <c r="B124" s="77"/>
      <c r="C124" s="17"/>
      <c r="D124" s="17"/>
    </row>
    <row r="125" customFormat="false" ht="12.75" hidden="false" customHeight="false" outlineLevel="0" collapsed="false">
      <c r="A125" s="77"/>
      <c r="B125" s="77"/>
      <c r="C125" s="17"/>
      <c r="D125" s="17"/>
    </row>
    <row r="126" customFormat="false" ht="12.75" hidden="false" customHeight="false" outlineLevel="0" collapsed="false">
      <c r="A126" s="77"/>
      <c r="B126" s="77"/>
      <c r="C126" s="17"/>
      <c r="D126" s="17"/>
    </row>
    <row r="127" customFormat="false" ht="12.75" hidden="false" customHeight="false" outlineLevel="0" collapsed="false">
      <c r="A127" s="77"/>
      <c r="B127" s="77"/>
      <c r="C127" s="17"/>
      <c r="D127" s="17"/>
    </row>
    <row r="128" customFormat="false" ht="12.75" hidden="false" customHeight="false" outlineLevel="0" collapsed="false">
      <c r="A128" s="77"/>
      <c r="B128" s="77"/>
      <c r="C128" s="17"/>
      <c r="D128" s="17"/>
    </row>
  </sheetData>
  <mergeCells count="1">
    <mergeCell ref="C3:D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2023-11-02T09:48:02Z</dcterms:created>
  <dc:creator>Germaine Bronkhorst (ATKB)</dc:creator>
  <dc:description/>
  <dc:language>nl-NL</dc:language>
  <cp:lastModifiedBy/>
  <dcterms:modified xsi:type="dcterms:W3CDTF">2026-03-14T21:51:20Z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543571-9408-4177-b9fc-8aa89b201ffe_ActionId">
    <vt:lpwstr>24c7f997-c83c-4932-ae88-67e988cb3d1e</vt:lpwstr>
  </property>
  <property fmtid="{D5CDD505-2E9C-101B-9397-08002B2CF9AE}" pid="3" name="MSIP_Label_2a543571-9408-4177-b9fc-8aa89b201ffe_ContentBits">
    <vt:lpwstr>0</vt:lpwstr>
  </property>
  <property fmtid="{D5CDD505-2E9C-101B-9397-08002B2CF9AE}" pid="4" name="MSIP_Label_2a543571-9408-4177-b9fc-8aa89b201ffe_Enabled">
    <vt:lpwstr>true</vt:lpwstr>
  </property>
  <property fmtid="{D5CDD505-2E9C-101B-9397-08002B2CF9AE}" pid="5" name="MSIP_Label_2a543571-9408-4177-b9fc-8aa89b201ffe_Method">
    <vt:lpwstr>Standard</vt:lpwstr>
  </property>
  <property fmtid="{D5CDD505-2E9C-101B-9397-08002B2CF9AE}" pid="6" name="MSIP_Label_2a543571-9408-4177-b9fc-8aa89b201ffe_Name">
    <vt:lpwstr>Eurofins Internal</vt:lpwstr>
  </property>
  <property fmtid="{D5CDD505-2E9C-101B-9397-08002B2CF9AE}" pid="7" name="MSIP_Label_2a543571-9408-4177-b9fc-8aa89b201ffe_SetDate">
    <vt:lpwstr>2023-12-20T07:50:28Z</vt:lpwstr>
  </property>
  <property fmtid="{D5CDD505-2E9C-101B-9397-08002B2CF9AE}" pid="8" name="MSIP_Label_2a543571-9408-4177-b9fc-8aa89b201ffe_SiteId">
    <vt:lpwstr>c94e2732-29d6-41d6-89d9-08c9798a6601</vt:lpwstr>
  </property>
</Properties>
</file>