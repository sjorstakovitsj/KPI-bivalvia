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formatie" sheetId="1" state="visible" r:id="rId3"/>
    <sheet name="Bijlage 4" sheetId="2" state="visible" r:id="rId4"/>
    <sheet name="Bijlage 5a" sheetId="3" state="visible" r:id="rId5"/>
    <sheet name="Bijlage 5b" sheetId="4" state="visible" r:id="rId6"/>
    <sheet name="Bijlage 6" sheetId="5" state="visible" r:id="rId7"/>
    <sheet name="Bijlage 7" sheetId="6" state="visible" r:id="rId8"/>
  </sheets>
  <definedNames>
    <definedName function="false" hidden="true" localSheetId="1" name="_xlnm._FilterDatabase" vbProcedure="false">'Bijlage 4'!$M$1:$M$144</definedName>
    <definedName function="false" hidden="false" localSheetId="0" name="_Ref151382417" vbProcedure="false">informatie!#ref!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<sst xmlns="http://schemas.openxmlformats.org/spreadsheetml/2006/main" count="3249" uniqueCount="160">
  <si>
    <t xml:space="preserve">Bemonsteringsdata: 13 oktober t/m 30 oktober 2025</t>
  </si>
  <si>
    <t xml:space="preserve">Op alle locaties is een Van Veenhapper gebruikt met bemonsteringsoppervlak van 260 cm2</t>
  </si>
  <si>
    <t xml:space="preserve">Op elke locatie zijn 5 happen genomen, binnen 100 meter vanaf de hoofdlocatie</t>
  </si>
  <si>
    <t xml:space="preserve">Asvrij droog vleesgewicht (ADV) bepaald van driehoeks- en quaggamosselen (dit voor beide methoden (vlees verwijderd en schelp aan 1 kant open))</t>
  </si>
  <si>
    <t xml:space="preserve">Drooggewicht: 48 uur bij 760 graden C.</t>
  </si>
  <si>
    <t xml:space="preserve">Asrest: 4 uur bij 490 graden C.</t>
  </si>
  <si>
    <t xml:space="preserve">Sedimenttype:</t>
  </si>
  <si>
    <t xml:space="preserve">Percentage lutumgehalte</t>
  </si>
  <si>
    <t xml:space="preserve">PAS= Primair aanhechtingsubstraat:</t>
  </si>
  <si>
    <t xml:space="preserve">K</t>
  </si>
  <si>
    <t xml:space="preserve">Klei</t>
  </si>
  <si>
    <t xml:space="preserve">Omschrijving</t>
  </si>
  <si>
    <t xml:space="preserve">Beoordeling</t>
  </si>
  <si>
    <t xml:space="preserve">Percentage</t>
  </si>
  <si>
    <t xml:space="preserve">D</t>
  </si>
  <si>
    <t xml:space="preserve">Dreissena</t>
  </si>
  <si>
    <t xml:space="preserve">Z</t>
  </si>
  <si>
    <t xml:space="preserve">Zand</t>
  </si>
  <si>
    <t xml:space="preserve">Klei-arm zand. Strandzand</t>
  </si>
  <si>
    <t xml:space="preserve">Schuurt tussen duim en wijsvinger.</t>
  </si>
  <si>
    <t xml:space="preserve">0-2%</t>
  </si>
  <si>
    <t xml:space="preserve">M</t>
  </si>
  <si>
    <t xml:space="preserve">Mytilus</t>
  </si>
  <si>
    <t xml:space="preserve">Z/s</t>
  </si>
  <si>
    <t xml:space="preserve">Meest zand (met slib)</t>
  </si>
  <si>
    <t xml:space="preserve">Kleihoudend zand</t>
  </si>
  <si>
    <t xml:space="preserve">Iets vuil, smeert ietsje. Schuurt nog onverminderd, klein slibwolkje als je het in een plas gooit.</t>
  </si>
  <si>
    <t xml:space="preserve">2-5%</t>
  </si>
  <si>
    <t xml:space="preserve">C</t>
  </si>
  <si>
    <t xml:space="preserve">Corbicula</t>
  </si>
  <si>
    <t xml:space="preserve">V</t>
  </si>
  <si>
    <t xml:space="preserve">Veen</t>
  </si>
  <si>
    <t xml:space="preserve">Kleiig zand/ slibbig zand</t>
  </si>
  <si>
    <t xml:space="preserve">Smeert. Bij knijpen gaat een klein deel tussen de vingers door.</t>
  </si>
  <si>
    <t xml:space="preserve">5-8%</t>
  </si>
  <si>
    <t xml:space="preserve">Zuiderzeeschelpen</t>
  </si>
  <si>
    <t xml:space="preserve">S</t>
  </si>
  <si>
    <t xml:space="preserve">Slib</t>
  </si>
  <si>
    <t xml:space="preserve">Zeer lichte zavel</t>
  </si>
  <si>
    <t xml:space="preserve">Smeert goed.  Bij knijpen grotendeels weg, iets zand over in de hand.</t>
  </si>
  <si>
    <t xml:space="preserve">8-12%</t>
  </si>
  <si>
    <t xml:space="preserve">N</t>
  </si>
  <si>
    <t xml:space="preserve">Najaden (o.a. zwanenmossels)</t>
  </si>
  <si>
    <t xml:space="preserve">S/z</t>
  </si>
  <si>
    <t xml:space="preserve">Meest slib (met zand)</t>
  </si>
  <si>
    <t xml:space="preserve">Matig lichte zavel</t>
  </si>
  <si>
    <t xml:space="preserve">Smeert goed. Zand alleen nog goed te voelen tussen duim en wijsvinger.</t>
  </si>
  <si>
    <t xml:space="preserve">12-17%</t>
  </si>
  <si>
    <t xml:space="preserve">W</t>
  </si>
  <si>
    <t xml:space="preserve">Waterplanten</t>
  </si>
  <si>
    <t xml:space="preserve">G</t>
  </si>
  <si>
    <t xml:space="preserve">Grind</t>
  </si>
  <si>
    <t xml:space="preserve">Zware zavel</t>
  </si>
  <si>
    <t xml:space="preserve">Smeert goed. Bijna geen zand meer te voelen. Klei wil niet meer van vingers afspoelen.</t>
  </si>
  <si>
    <t xml:space="preserve">17-25%</t>
  </si>
  <si>
    <t xml:space="preserve">Overig</t>
  </si>
  <si>
    <t xml:space="preserve">X</t>
  </si>
  <si>
    <t xml:space="preserve">Grof materiaal (stenen, schelpen)</t>
  </si>
  <si>
    <t xml:space="preserve">Lichte klei</t>
  </si>
  <si>
    <t xml:space="preserve">Bijna stopverf, als molykote tussen duim en vinger. Zand alleen nog te proeven.</t>
  </si>
  <si>
    <t xml:space="preserve">25-35%</t>
  </si>
  <si>
    <t xml:space="preserve">Y</t>
  </si>
  <si>
    <t xml:space="preserve">Anders</t>
  </si>
  <si>
    <t xml:space="preserve">Zware klei</t>
  </si>
  <si>
    <t xml:space="preserve">Bijna stopverf, als molykote tussen duim en vinger. Geen zand meer te proeven.</t>
  </si>
  <si>
    <t xml:space="preserve">&gt;35%</t>
  </si>
  <si>
    <t xml:space="preserve">k: klei, z: zand, z/s: meest zand met slib, v: veen</t>
  </si>
  <si>
    <t xml:space="preserve">D: Dreissena, M: Mytilus, C: Corbicula, Z: zuiderzeeschelpen</t>
  </si>
  <si>
    <t xml:space="preserve">s: slib, s/z: meest slib met zand, g: grind, x: grof materiaal</t>
  </si>
  <si>
    <t xml:space="preserve">N: Najaden, W: waterplanten, O: overig</t>
  </si>
  <si>
    <t xml:space="preserve">Coordinaten gepland (RD)</t>
  </si>
  <si>
    <t xml:space="preserve">Coordinaten uitgevoerd (RD)</t>
  </si>
  <si>
    <t xml:space="preserve">Biovolumes (ml)</t>
  </si>
  <si>
    <t xml:space="preserve">Biovolume (ml)</t>
  </si>
  <si>
    <t xml:space="preserve">Aantallen</t>
  </si>
  <si>
    <t xml:space="preserve">Sedimenttype (k, z, z/s, v, y, s, s/z, g, x) per hap</t>
  </si>
  <si>
    <t xml:space="preserve">Percentage lutum per hap</t>
  </si>
  <si>
    <t xml:space="preserve">PAS (D, M, C, Z, N, W, O) per hap </t>
  </si>
  <si>
    <t xml:space="preserve">Deelgebied</t>
  </si>
  <si>
    <t xml:space="preserve">Locatie</t>
  </si>
  <si>
    <t xml:space="preserve">x</t>
  </si>
  <si>
    <t xml:space="preserve">y</t>
  </si>
  <si>
    <t xml:space="preserve">Datum</t>
  </si>
  <si>
    <t xml:space="preserve">Waterdiepte (m)</t>
  </si>
  <si>
    <t xml:space="preserve">Driehoeksmossel</t>
  </si>
  <si>
    <t xml:space="preserve">Quaggamossel</t>
  </si>
  <si>
    <t xml:space="preserve">Mytilidae</t>
  </si>
  <si>
    <t xml:space="preserve">Najaden</t>
  </si>
  <si>
    <t xml:space="preserve">Monsters lab</t>
  </si>
  <si>
    <t xml:space="preserve">Weer</t>
  </si>
  <si>
    <t xml:space="preserve">Opmerkingen</t>
  </si>
  <si>
    <t xml:space="preserve">IJsselmeer-noord</t>
  </si>
  <si>
    <t xml:space="preserve">-</t>
  </si>
  <si>
    <t xml:space="preserve">z</t>
  </si>
  <si>
    <t xml:space="preserve">5-8</t>
  </si>
  <si>
    <t xml:space="preserve">d</t>
  </si>
  <si>
    <t xml:space="preserve">Nee</t>
  </si>
  <si>
    <t xml:space="preserve">ZW4, 1,2 mm</t>
  </si>
  <si>
    <t xml:space="preserve">z/s</t>
  </si>
  <si>
    <t xml:space="preserve">8-12</t>
  </si>
  <si>
    <t xml:space="preserve">12-17</t>
  </si>
  <si>
    <t xml:space="preserve">s</t>
  </si>
  <si>
    <t xml:space="preserve">17-25</t>
  </si>
  <si>
    <t xml:space="preserve">ZW4-5, 8,6 mm</t>
  </si>
  <si>
    <t xml:space="preserve">Laatste coordinaat en waterdiepte niet genoteerd</t>
  </si>
  <si>
    <t xml:space="preserve">2-5</t>
  </si>
  <si>
    <t xml:space="preserve">ZW4, 8,1 mm</t>
  </si>
  <si>
    <t xml:space="preserve">x </t>
  </si>
  <si>
    <t xml:space="preserve">x is steen</t>
  </si>
  <si>
    <t xml:space="preserve">Ja</t>
  </si>
  <si>
    <t xml:space="preserve">z,x</t>
  </si>
  <si>
    <t xml:space="preserve">ZW3, 0,4 mm</t>
  </si>
  <si>
    <t xml:space="preserve">z,c</t>
  </si>
  <si>
    <t xml:space="preserve">GPS had even kuren, geen coordinaat</t>
  </si>
  <si>
    <t xml:space="preserve">k,v</t>
  </si>
  <si>
    <t xml:space="preserve">k</t>
  </si>
  <si>
    <t xml:space="preserve">25-35</t>
  </si>
  <si>
    <t xml:space="preserve">d,z</t>
  </si>
  <si>
    <t xml:space="preserve">c</t>
  </si>
  <si>
    <t xml:space="preserve">IJsselmeer-centraal</t>
  </si>
  <si>
    <t xml:space="preserve">ZO4, 4,8 mm</t>
  </si>
  <si>
    <t xml:space="preserve">c,d</t>
  </si>
  <si>
    <t xml:space="preserve">670m van origineel punt van kotter die vast loopt op de ondiepte. Punt in vervolg verplaatsen.</t>
  </si>
  <si>
    <t xml:space="preserve">5-9</t>
  </si>
  <si>
    <t xml:space="preserve">z,v</t>
  </si>
  <si>
    <t xml:space="preserve">NW3-4, 2,2 mm</t>
  </si>
  <si>
    <t xml:space="preserve">s,x</t>
  </si>
  <si>
    <t xml:space="preserve">NW3, 0,0 mm</t>
  </si>
  <si>
    <t xml:space="preserve">0-2</t>
  </si>
  <si>
    <t xml:space="preserve">k,s</t>
  </si>
  <si>
    <t xml:space="preserve">&gt;35</t>
  </si>
  <si>
    <t xml:space="preserve">N3, 0,4 mm</t>
  </si>
  <si>
    <t xml:space="preserve">Punt ligt zeer dicht tegen de oever aan</t>
  </si>
  <si>
    <t xml:space="preserve"> -</t>
  </si>
  <si>
    <t xml:space="preserve">IJsselmeer-zuid</t>
  </si>
  <si>
    <t xml:space="preserve">NW3, 1,3 mm</t>
  </si>
  <si>
    <t xml:space="preserve">x= steen</t>
  </si>
  <si>
    <t xml:space="preserve">Aantallen aangetroffen mosselen in de meegenomen monsters</t>
  </si>
  <si>
    <t xml:space="preserve">Lengteklasse (mm)</t>
  </si>
  <si>
    <t xml:space="preserve">IJsselmeer Noord</t>
  </si>
  <si>
    <t xml:space="preserve">IJsselmeer Centraal</t>
  </si>
  <si>
    <t xml:space="preserve">Ijsselmeer Zuid</t>
  </si>
  <si>
    <t xml:space="preserve">Totaal</t>
  </si>
  <si>
    <t xml:space="preserve">Bugensis</t>
  </si>
  <si>
    <t xml:space="preserve">Polymorpha</t>
  </si>
  <si>
    <t xml:space="preserve">biovolume </t>
  </si>
  <si>
    <t xml:space="preserve">Procentuele verspreiding van de lengteklassen per soort per deelgebied</t>
  </si>
  <si>
    <t xml:space="preserve">IJsselmeer Zuid</t>
  </si>
  <si>
    <t xml:space="preserve">Gemiddeld ADV van lengteklassen van de quagga- en driehoeksmossel in de deelgebieden</t>
  </si>
  <si>
    <t xml:space="preserve">Tabel 2: V4 van A2.120: Schelp aan 1 kant opengemaakt gehaald alvorens te verassen, vlees verast in schelp</t>
  </si>
  <si>
    <t xml:space="preserve">SL (mm)</t>
  </si>
  <si>
    <t xml:space="preserve">D. bugensis</t>
  </si>
  <si>
    <t xml:space="preserve">D. polymorpha</t>
  </si>
  <si>
    <t xml:space="preserve">ADV/mossel</t>
  </si>
  <si>
    <t xml:space="preserve">N bugensis</t>
  </si>
  <si>
    <t xml:space="preserve">N polymorpha</t>
  </si>
  <si>
    <t xml:space="preserve">Berekende ADV van de quagga- en driehoeksmosselen op de monsterlocaties</t>
  </si>
  <si>
    <t xml:space="preserve">Nieuwe methode (in schelp)</t>
  </si>
  <si>
    <t xml:space="preserve">Berekend ADV bugensis (mg/m2)</t>
  </si>
  <si>
    <t xml:space="preserve">Berekend ADV polymorpha (mg/m2)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</si>
</sst>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/yyyy"/>
    <numFmt numFmtId="167" formatCode="0.0"/>
    <numFmt numFmtId="168" formatCode="0.00%"/>
    <numFmt numFmtId="169" formatCode="0.00"/>
  </numFmts>
  <fonts count="5">
    <font>
      <sz val="10"/>
      <color theme="1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BDD7EE"/>
      </patternFill>
    </fill>
    <fill>
      <patternFill patternType="solid">
        <fgColor theme="8" tint="0.5999"/>
        <bgColor rgb="FFB4C7E7"/>
      </patternFill>
    </fill>
    <fill>
      <patternFill patternType="solid">
        <fgColor theme="8" tint="0.7999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21" activeCellId="0" sqref="G21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1" min="1" style="0" width="14.55"/>
    <col collapsed="false" customWidth="true" hidden="false" outlineLevel="0" max="2" min="2" style="0" width="27"/>
    <col collapsed="false" customWidth="true" hidden="false" outlineLevel="0" max="3" min="3" style="0" width="12.22"/>
    <col collapsed="false" customWidth="true" hidden="false" outlineLevel="0" max="4" min="4" style="0" width="23.11"/>
    <col collapsed="false" customWidth="true" hidden="false" outlineLevel="0" max="5" min="5" style="0" width="74.34"/>
    <col collapsed="false" customWidth="true" hidden="false" outlineLevel="0" max="6" min="6" style="0" width="10.67"/>
    <col collapsed="false" customWidth="true" hidden="false" outlineLevel="0" max="7" min="7" style="0" width="9.33"/>
    <col collapsed="false" customWidth="true" hidden="false" outlineLevel="0" max="9" min="9" style="0" width="24.45"/>
  </cols>
  <sheetData>
    <row r="1" customFormat="false" ht="13.5" hidden="false" customHeight="false" outlineLevel="0" collapsed="false">
      <c r="A1" s="0" t="s">
        <v>0</v>
      </c>
    </row>
    <row r="3" customFormat="false" ht="13.5" hidden="false" customHeight="false" outlineLevel="0" collapsed="false">
      <c r="A3" s="0" t="s">
        <v>1</v>
      </c>
    </row>
    <row r="4" customFormat="false" ht="13.5" hidden="false" customHeight="false" outlineLevel="0" collapsed="false">
      <c r="A4" s="0" t="s">
        <v>2</v>
      </c>
    </row>
    <row r="6" customFormat="false" ht="13.5" hidden="false" customHeight="false" outlineLevel="0" collapsed="false">
      <c r="A6" s="0" t="s">
        <v>3</v>
      </c>
    </row>
    <row r="7" customFormat="false" ht="13.5" hidden="false" customHeight="false" outlineLevel="0" collapsed="false">
      <c r="A7" s="0" t="s">
        <v>4</v>
      </c>
    </row>
    <row r="8" customFormat="false" ht="13.5" hidden="false" customHeight="false" outlineLevel="0" collapsed="false">
      <c r="A8" s="0" t="s">
        <v>5</v>
      </c>
    </row>
    <row r="10" customFormat="false" ht="13.5" hidden="false" customHeight="false" outlineLevel="0" collapsed="false">
      <c r="A10" s="1" t="s">
        <v>6</v>
      </c>
      <c r="B10" s="2"/>
      <c r="D10" s="1" t="s">
        <v>7</v>
      </c>
      <c r="E10" s="2"/>
      <c r="F10" s="2"/>
      <c r="H10" s="1" t="s">
        <v>8</v>
      </c>
      <c r="I10" s="2"/>
    </row>
    <row r="11" customFormat="false" ht="13.5" hidden="false" customHeight="false" outlineLevel="0" collapsed="false">
      <c r="A11" s="2" t="s">
        <v>9</v>
      </c>
      <c r="B11" s="2" t="s">
        <v>10</v>
      </c>
      <c r="D11" s="1" t="s">
        <v>11</v>
      </c>
      <c r="E11" s="1" t="s">
        <v>12</v>
      </c>
      <c r="F11" s="1" t="s">
        <v>13</v>
      </c>
      <c r="H11" s="2" t="s">
        <v>14</v>
      </c>
      <c r="I11" s="2" t="s">
        <v>15</v>
      </c>
    </row>
    <row r="12" customFormat="false" ht="13.5" hidden="false" customHeight="false" outlineLevel="0" collapsed="false">
      <c r="A12" s="2" t="s">
        <v>16</v>
      </c>
      <c r="B12" s="2" t="s">
        <v>17</v>
      </c>
      <c r="D12" s="2" t="s">
        <v>18</v>
      </c>
      <c r="E12" s="2" t="s">
        <v>19</v>
      </c>
      <c r="F12" s="2" t="s">
        <v>20</v>
      </c>
      <c r="H12" s="2" t="s">
        <v>21</v>
      </c>
      <c r="I12" s="2" t="s">
        <v>22</v>
      </c>
    </row>
    <row r="13" customFormat="false" ht="13.5" hidden="false" customHeight="false" outlineLevel="0" collapsed="false">
      <c r="A13" s="2" t="s">
        <v>23</v>
      </c>
      <c r="B13" s="2" t="s">
        <v>24</v>
      </c>
      <c r="D13" s="2" t="s">
        <v>25</v>
      </c>
      <c r="E13" s="2" t="s">
        <v>26</v>
      </c>
      <c r="F13" s="2" t="s">
        <v>27</v>
      </c>
      <c r="H13" s="2" t="s">
        <v>28</v>
      </c>
      <c r="I13" s="2" t="s">
        <v>29</v>
      </c>
    </row>
    <row r="14" customFormat="false" ht="13.5" hidden="false" customHeight="false" outlineLevel="0" collapsed="false">
      <c r="A14" s="2" t="s">
        <v>30</v>
      </c>
      <c r="B14" s="2" t="s">
        <v>31</v>
      </c>
      <c r="D14" s="2" t="s">
        <v>32</v>
      </c>
      <c r="E14" s="2" t="s">
        <v>33</v>
      </c>
      <c r="F14" s="2" t="s">
        <v>34</v>
      </c>
      <c r="H14" s="2" t="s">
        <v>16</v>
      </c>
      <c r="I14" s="2" t="s">
        <v>35</v>
      </c>
    </row>
    <row r="15" customFormat="false" ht="13.5" hidden="false" customHeight="false" outlineLevel="0" collapsed="false">
      <c r="A15" s="2" t="s">
        <v>36</v>
      </c>
      <c r="B15" s="2" t="s">
        <v>37</v>
      </c>
      <c r="D15" s="2" t="s">
        <v>38</v>
      </c>
      <c r="E15" s="2" t="s">
        <v>39</v>
      </c>
      <c r="F15" s="2" t="s">
        <v>40</v>
      </c>
      <c r="H15" s="2" t="s">
        <v>41</v>
      </c>
      <c r="I15" s="2" t="s">
        <v>42</v>
      </c>
    </row>
    <row r="16" customFormat="false" ht="13.5" hidden="false" customHeight="false" outlineLevel="0" collapsed="false">
      <c r="A16" s="2" t="s">
        <v>43</v>
      </c>
      <c r="B16" s="2" t="s">
        <v>44</v>
      </c>
      <c r="D16" s="2" t="s">
        <v>45</v>
      </c>
      <c r="E16" s="2" t="s">
        <v>46</v>
      </c>
      <c r="F16" s="2" t="s">
        <v>47</v>
      </c>
      <c r="H16" s="2" t="s">
        <v>48</v>
      </c>
      <c r="I16" s="2" t="s">
        <v>49</v>
      </c>
    </row>
    <row r="17" customFormat="false" ht="13.5" hidden="false" customHeight="false" outlineLevel="0" collapsed="false">
      <c r="A17" s="2" t="s">
        <v>50</v>
      </c>
      <c r="B17" s="2" t="s">
        <v>51</v>
      </c>
      <c r="D17" s="2" t="s">
        <v>52</v>
      </c>
      <c r="E17" s="2" t="s">
        <v>53</v>
      </c>
      <c r="F17" s="2" t="s">
        <v>54</v>
      </c>
      <c r="H17" s="2"/>
      <c r="I17" s="2" t="s">
        <v>55</v>
      </c>
    </row>
    <row r="18" customFormat="false" ht="13.5" hidden="false" customHeight="false" outlineLevel="0" collapsed="false">
      <c r="A18" s="2" t="s">
        <v>56</v>
      </c>
      <c r="B18" s="2" t="s">
        <v>57</v>
      </c>
      <c r="D18" s="2" t="s">
        <v>58</v>
      </c>
      <c r="E18" s="2" t="s">
        <v>59</v>
      </c>
      <c r="F18" s="2" t="s">
        <v>60</v>
      </c>
    </row>
    <row r="19" customFormat="false" ht="13.5" hidden="false" customHeight="false" outlineLevel="0" collapsed="false">
      <c r="A19" s="2" t="s">
        <v>61</v>
      </c>
      <c r="B19" s="2" t="s">
        <v>62</v>
      </c>
      <c r="D19" s="2" t="s">
        <v>63</v>
      </c>
      <c r="E19" s="2" t="s">
        <v>64</v>
      </c>
      <c r="F19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4"/>
  <sheetViews>
    <sheetView showFormulas="false" showGridLines="true" showRowColHeaders="true" showZeros="true" rightToLeft="false" tabSelected="false" showOutlineSymbols="true" defaultGridColor="true" view="normal" topLeftCell="N1" colorId="64" zoomScale="95" zoomScaleNormal="95" zoomScalePageLayoutView="100" workbookViewId="0">
      <selection pane="topLeft" activeCell="AA18" activeCellId="0" sqref="AA18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1" min="1" style="0" width="17.66"/>
    <col collapsed="false" customWidth="true" hidden="false" outlineLevel="0" max="3" min="3" style="0" width="11.45"/>
    <col collapsed="false" customWidth="true" hidden="false" outlineLevel="0" max="6" min="6" style="0" width="14"/>
    <col collapsed="false" customWidth="true" hidden="false" outlineLevel="0" max="7" min="7" style="0" width="11.11"/>
    <col collapsed="false" customWidth="true" hidden="false" outlineLevel="0" max="8" min="8" style="0" width="13.34"/>
    <col collapsed="false" customWidth="true" hidden="false" outlineLevel="0" max="9" min="9" style="0" width="13.66"/>
    <col collapsed="false" customWidth="true" hidden="false" outlineLevel="0" max="11" min="10" style="0" width="11.89"/>
    <col collapsed="false" customWidth="true" hidden="false" outlineLevel="0" max="30" min="30" style="0" width="10.67"/>
    <col collapsed="false" customWidth="true" hidden="false" outlineLevel="0" max="31" min="31" style="0" width="22"/>
    <col collapsed="false" customWidth="true" hidden="false" outlineLevel="0" max="32" min="32" style="0" width="85.56"/>
  </cols>
  <sheetData>
    <row r="1" customFormat="false" ht="13.5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3" t="s">
        <v>66</v>
      </c>
      <c r="P1" s="4"/>
      <c r="Q1" s="4"/>
      <c r="R1" s="6"/>
      <c r="S1" s="4"/>
      <c r="T1" s="4"/>
      <c r="U1" s="4"/>
      <c r="V1" s="4"/>
      <c r="W1" s="4"/>
      <c r="X1" s="4"/>
      <c r="Y1" s="4" t="s">
        <v>67</v>
      </c>
      <c r="Z1" s="4"/>
      <c r="AA1" s="4"/>
      <c r="AB1" s="4"/>
      <c r="AC1" s="4"/>
      <c r="AD1" s="4"/>
      <c r="AE1" s="7"/>
      <c r="AF1" s="4"/>
    </row>
    <row r="2" customFormat="false" ht="13.5" hidden="false" customHeight="false" outlineLevel="0" collapsed="false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8" t="s">
        <v>68</v>
      </c>
      <c r="P2" s="11"/>
      <c r="Q2" s="11"/>
      <c r="R2" s="11"/>
      <c r="S2" s="9"/>
      <c r="T2" s="9"/>
      <c r="U2" s="9"/>
      <c r="V2" s="9"/>
      <c r="W2" s="9"/>
      <c r="X2" s="9"/>
      <c r="Y2" s="9" t="s">
        <v>69</v>
      </c>
      <c r="Z2" s="9"/>
      <c r="AA2" s="9"/>
      <c r="AB2" s="9"/>
      <c r="AC2" s="9"/>
      <c r="AD2" s="9"/>
      <c r="AE2" s="12"/>
      <c r="AF2" s="9"/>
    </row>
    <row r="3" customFormat="false" ht="13.5" hidden="false" customHeight="false" outlineLevel="0" collapsed="false">
      <c r="A3" s="8"/>
      <c r="B3" s="10"/>
      <c r="C3" s="13" t="s">
        <v>70</v>
      </c>
      <c r="D3" s="13"/>
      <c r="E3" s="13" t="s">
        <v>71</v>
      </c>
      <c r="F3" s="13"/>
      <c r="G3" s="13"/>
      <c r="H3" s="13"/>
      <c r="I3" s="13" t="s">
        <v>72</v>
      </c>
      <c r="J3" s="8"/>
      <c r="K3" s="14" t="s">
        <v>73</v>
      </c>
      <c r="L3" s="10"/>
      <c r="M3" s="13" t="s">
        <v>74</v>
      </c>
      <c r="N3" s="13"/>
      <c r="O3" s="13" t="s">
        <v>75</v>
      </c>
      <c r="P3" s="13"/>
      <c r="Q3" s="13"/>
      <c r="R3" s="8"/>
      <c r="S3" s="10"/>
      <c r="T3" s="13" t="s">
        <v>76</v>
      </c>
      <c r="U3" s="13"/>
      <c r="V3" s="8"/>
      <c r="W3" s="9"/>
      <c r="X3" s="10"/>
      <c r="Y3" s="13" t="s">
        <v>77</v>
      </c>
      <c r="Z3" s="13"/>
      <c r="AA3" s="8"/>
      <c r="AB3" s="9"/>
      <c r="AC3" s="10"/>
      <c r="AD3" s="10"/>
      <c r="AE3" s="15"/>
      <c r="AF3" s="13"/>
    </row>
    <row r="4" customFormat="false" ht="13.5" hidden="false" customHeight="false" outlineLevel="0" collapsed="false">
      <c r="A4" s="16" t="s">
        <v>78</v>
      </c>
      <c r="B4" s="16" t="s">
        <v>79</v>
      </c>
      <c r="C4" s="16" t="s">
        <v>80</v>
      </c>
      <c r="D4" s="16" t="s">
        <v>81</v>
      </c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29</v>
      </c>
      <c r="M4" s="16" t="s">
        <v>29</v>
      </c>
      <c r="N4" s="16" t="s">
        <v>87</v>
      </c>
      <c r="O4" s="16" t="n">
        <v>1</v>
      </c>
      <c r="P4" s="16" t="n">
        <v>2</v>
      </c>
      <c r="Q4" s="16" t="n">
        <v>3</v>
      </c>
      <c r="R4" s="16" t="n">
        <v>4</v>
      </c>
      <c r="S4" s="16" t="n">
        <v>5</v>
      </c>
      <c r="T4" s="16" t="n">
        <v>1</v>
      </c>
      <c r="U4" s="16" t="n">
        <v>2</v>
      </c>
      <c r="V4" s="16" t="n">
        <v>3</v>
      </c>
      <c r="W4" s="16" t="n">
        <v>4</v>
      </c>
      <c r="X4" s="16" t="n">
        <v>5</v>
      </c>
      <c r="Y4" s="16" t="n">
        <v>1</v>
      </c>
      <c r="Z4" s="16" t="n">
        <v>2</v>
      </c>
      <c r="AA4" s="16" t="n">
        <v>3</v>
      </c>
      <c r="AB4" s="16" t="n">
        <v>4</v>
      </c>
      <c r="AC4" s="16" t="n">
        <v>5</v>
      </c>
      <c r="AD4" s="16" t="s">
        <v>88</v>
      </c>
      <c r="AE4" s="16" t="s">
        <v>89</v>
      </c>
      <c r="AF4" s="16" t="s">
        <v>90</v>
      </c>
    </row>
    <row r="5" customFormat="false" ht="13.5" hidden="false" customHeight="false" outlineLevel="0" collapsed="false">
      <c r="A5" s="2" t="s">
        <v>91</v>
      </c>
      <c r="B5" s="2" t="n">
        <v>1</v>
      </c>
      <c r="C5" s="17" t="n">
        <v>149000</v>
      </c>
      <c r="D5" s="17" t="n">
        <v>563000</v>
      </c>
      <c r="E5" s="17" t="n">
        <v>149011.357</v>
      </c>
      <c r="F5" s="17" t="n">
        <v>563005.36</v>
      </c>
      <c r="G5" s="18" t="n">
        <v>45960.456412037</v>
      </c>
      <c r="H5" s="19" t="n">
        <v>3.4</v>
      </c>
      <c r="I5" s="19" t="n">
        <v>1.3</v>
      </c>
      <c r="J5" s="19" t="n">
        <v>1.2</v>
      </c>
      <c r="K5" s="20" t="n">
        <v>0</v>
      </c>
      <c r="L5" s="20" t="s">
        <v>92</v>
      </c>
      <c r="M5" s="20" t="s">
        <v>92</v>
      </c>
      <c r="N5" s="20" t="s">
        <v>92</v>
      </c>
      <c r="O5" s="20" t="s">
        <v>93</v>
      </c>
      <c r="P5" s="20" t="s">
        <v>93</v>
      </c>
      <c r="Q5" s="20" t="s">
        <v>93</v>
      </c>
      <c r="R5" s="20" t="s">
        <v>93</v>
      </c>
      <c r="S5" s="20" t="s">
        <v>93</v>
      </c>
      <c r="T5" s="20" t="s">
        <v>94</v>
      </c>
      <c r="U5" s="20" t="s">
        <v>94</v>
      </c>
      <c r="V5" s="20" t="s">
        <v>94</v>
      </c>
      <c r="W5" s="20" t="s">
        <v>94</v>
      </c>
      <c r="X5" s="20" t="s">
        <v>94</v>
      </c>
      <c r="Y5" s="20" t="s">
        <v>92</v>
      </c>
      <c r="Z5" s="20" t="s">
        <v>93</v>
      </c>
      <c r="AA5" s="20" t="s">
        <v>95</v>
      </c>
      <c r="AB5" s="20" t="s">
        <v>92</v>
      </c>
      <c r="AC5" s="20" t="s">
        <v>92</v>
      </c>
      <c r="AD5" s="20" t="s">
        <v>96</v>
      </c>
      <c r="AE5" s="20" t="s">
        <v>97</v>
      </c>
      <c r="AF5" s="21"/>
    </row>
    <row r="6" customFormat="false" ht="13.5" hidden="false" customHeight="false" outlineLevel="0" collapsed="false">
      <c r="A6" s="2" t="s">
        <v>91</v>
      </c>
      <c r="B6" s="2" t="n">
        <v>2</v>
      </c>
      <c r="C6" s="17" t="n">
        <v>153000</v>
      </c>
      <c r="D6" s="17" t="n">
        <v>563000</v>
      </c>
      <c r="E6" s="17" t="n">
        <v>153007.84</v>
      </c>
      <c r="F6" s="17" t="n">
        <v>563004.52</v>
      </c>
      <c r="G6" s="18" t="n">
        <v>45960.4750462963</v>
      </c>
      <c r="H6" s="19" t="n">
        <v>2.74</v>
      </c>
      <c r="I6" s="19" t="s">
        <v>92</v>
      </c>
      <c r="J6" s="19" t="s">
        <v>92</v>
      </c>
      <c r="K6" s="20" t="n">
        <v>0</v>
      </c>
      <c r="L6" s="20" t="s">
        <v>92</v>
      </c>
      <c r="M6" s="20" t="s">
        <v>92</v>
      </c>
      <c r="N6" s="20" t="s">
        <v>92</v>
      </c>
      <c r="O6" s="20" t="s">
        <v>93</v>
      </c>
      <c r="P6" s="20" t="s">
        <v>93</v>
      </c>
      <c r="Q6" s="20" t="s">
        <v>93</v>
      </c>
      <c r="R6" s="20" t="s">
        <v>93</v>
      </c>
      <c r="S6" s="20" t="s">
        <v>93</v>
      </c>
      <c r="T6" s="20" t="s">
        <v>94</v>
      </c>
      <c r="U6" s="20" t="s">
        <v>94</v>
      </c>
      <c r="V6" s="20" t="s">
        <v>94</v>
      </c>
      <c r="W6" s="20" t="s">
        <v>94</v>
      </c>
      <c r="X6" s="20" t="s">
        <v>94</v>
      </c>
      <c r="Y6" s="20" t="s">
        <v>92</v>
      </c>
      <c r="Z6" s="20" t="s">
        <v>92</v>
      </c>
      <c r="AA6" s="20" t="s">
        <v>92</v>
      </c>
      <c r="AB6" s="20" t="s">
        <v>92</v>
      </c>
      <c r="AC6" s="20" t="s">
        <v>92</v>
      </c>
      <c r="AD6" s="20" t="s">
        <v>96</v>
      </c>
      <c r="AE6" s="20" t="s">
        <v>97</v>
      </c>
      <c r="AF6" s="21"/>
    </row>
    <row r="7" customFormat="false" ht="13.5" hidden="false" customHeight="false" outlineLevel="0" collapsed="false">
      <c r="A7" s="2" t="s">
        <v>91</v>
      </c>
      <c r="B7" s="2" t="n">
        <v>3</v>
      </c>
      <c r="C7" s="17" t="n">
        <v>147000</v>
      </c>
      <c r="D7" s="17" t="n">
        <v>561000</v>
      </c>
      <c r="E7" s="17" t="n">
        <v>146992.537</v>
      </c>
      <c r="F7" s="17" t="n">
        <v>561002.939</v>
      </c>
      <c r="G7" s="18" t="n">
        <v>45960.4401851852</v>
      </c>
      <c r="H7" s="19" t="n">
        <v>3.2</v>
      </c>
      <c r="I7" s="19" t="s">
        <v>92</v>
      </c>
      <c r="J7" s="19" t="s">
        <v>92</v>
      </c>
      <c r="K7" s="20" t="n">
        <v>0</v>
      </c>
      <c r="L7" s="20" t="s">
        <v>92</v>
      </c>
      <c r="M7" s="20" t="s">
        <v>92</v>
      </c>
      <c r="N7" s="20" t="s">
        <v>92</v>
      </c>
      <c r="O7" s="20" t="s">
        <v>93</v>
      </c>
      <c r="P7" s="20" t="s">
        <v>93</v>
      </c>
      <c r="Q7" s="20" t="s">
        <v>93</v>
      </c>
      <c r="R7" s="20" t="s">
        <v>93</v>
      </c>
      <c r="S7" s="20" t="s">
        <v>93</v>
      </c>
      <c r="T7" s="20" t="s">
        <v>94</v>
      </c>
      <c r="U7" s="20" t="s">
        <v>94</v>
      </c>
      <c r="V7" s="20" t="s">
        <v>94</v>
      </c>
      <c r="W7" s="20" t="s">
        <v>94</v>
      </c>
      <c r="X7" s="20" t="s">
        <v>94</v>
      </c>
      <c r="Y7" s="20" t="s">
        <v>92</v>
      </c>
      <c r="Z7" s="20" t="s">
        <v>92</v>
      </c>
      <c r="AA7" s="20" t="s">
        <v>92</v>
      </c>
      <c r="AB7" s="20" t="s">
        <v>92</v>
      </c>
      <c r="AC7" s="20" t="s">
        <v>92</v>
      </c>
      <c r="AD7" s="20" t="s">
        <v>96</v>
      </c>
      <c r="AE7" s="20" t="s">
        <v>97</v>
      </c>
      <c r="AF7" s="21"/>
    </row>
    <row r="8" customFormat="false" ht="13.5" hidden="false" customHeight="false" outlineLevel="0" collapsed="false">
      <c r="A8" s="2" t="s">
        <v>91</v>
      </c>
      <c r="B8" s="2" t="n">
        <v>4</v>
      </c>
      <c r="C8" s="17" t="n">
        <v>151000</v>
      </c>
      <c r="D8" s="17" t="n">
        <v>561000</v>
      </c>
      <c r="E8" s="17" t="n">
        <v>151001.886</v>
      </c>
      <c r="F8" s="17" t="n">
        <v>561008.657</v>
      </c>
      <c r="G8" s="18" t="n">
        <v>45960.4913888889</v>
      </c>
      <c r="H8" s="19" t="n">
        <v>3.16</v>
      </c>
      <c r="I8" s="19" t="s">
        <v>92</v>
      </c>
      <c r="J8" s="19" t="s">
        <v>92</v>
      </c>
      <c r="K8" s="20" t="n">
        <v>0</v>
      </c>
      <c r="L8" s="20" t="s">
        <v>92</v>
      </c>
      <c r="M8" s="20" t="s">
        <v>92</v>
      </c>
      <c r="N8" s="20" t="s">
        <v>92</v>
      </c>
      <c r="O8" s="20" t="s">
        <v>93</v>
      </c>
      <c r="P8" s="20" t="s">
        <v>93</v>
      </c>
      <c r="Q8" s="20" t="s">
        <v>93</v>
      </c>
      <c r="R8" s="20" t="s">
        <v>93</v>
      </c>
      <c r="S8" s="20" t="s">
        <v>93</v>
      </c>
      <c r="T8" s="20" t="s">
        <v>94</v>
      </c>
      <c r="U8" s="20" t="s">
        <v>94</v>
      </c>
      <c r="V8" s="20" t="s">
        <v>94</v>
      </c>
      <c r="W8" s="20" t="s">
        <v>94</v>
      </c>
      <c r="X8" s="20" t="s">
        <v>94</v>
      </c>
      <c r="Y8" s="20" t="s">
        <v>92</v>
      </c>
      <c r="Z8" s="20" t="s">
        <v>92</v>
      </c>
      <c r="AA8" s="20" t="s">
        <v>92</v>
      </c>
      <c r="AB8" s="20" t="s">
        <v>92</v>
      </c>
      <c r="AC8" s="20" t="s">
        <v>92</v>
      </c>
      <c r="AD8" s="20" t="s">
        <v>96</v>
      </c>
      <c r="AE8" s="20" t="s">
        <v>97</v>
      </c>
      <c r="AF8" s="21"/>
    </row>
    <row r="9" customFormat="false" ht="13.5" hidden="false" customHeight="false" outlineLevel="0" collapsed="false">
      <c r="A9" s="2" t="s">
        <v>91</v>
      </c>
      <c r="B9" s="2" t="n">
        <v>5</v>
      </c>
      <c r="C9" s="17" t="n">
        <v>145000</v>
      </c>
      <c r="D9" s="17" t="n">
        <v>559000</v>
      </c>
      <c r="E9" s="17" t="n">
        <v>145009.581</v>
      </c>
      <c r="F9" s="17" t="n">
        <v>559011.643</v>
      </c>
      <c r="G9" s="18" t="n">
        <v>45960.4228009259</v>
      </c>
      <c r="H9" s="19" t="n">
        <v>4.82</v>
      </c>
      <c r="I9" s="19" t="n">
        <v>7</v>
      </c>
      <c r="J9" s="19" t="n">
        <v>30</v>
      </c>
      <c r="K9" s="20" t="n">
        <v>0</v>
      </c>
      <c r="L9" s="20" t="s">
        <v>92</v>
      </c>
      <c r="M9" s="20" t="s">
        <v>92</v>
      </c>
      <c r="N9" s="20" t="s">
        <v>92</v>
      </c>
      <c r="O9" s="20" t="s">
        <v>93</v>
      </c>
      <c r="P9" s="20" t="s">
        <v>98</v>
      </c>
      <c r="Q9" s="20" t="s">
        <v>98</v>
      </c>
      <c r="R9" s="20" t="s">
        <v>98</v>
      </c>
      <c r="S9" s="20" t="s">
        <v>98</v>
      </c>
      <c r="T9" s="20" t="s">
        <v>99</v>
      </c>
      <c r="U9" s="20" t="s">
        <v>100</v>
      </c>
      <c r="V9" s="20" t="s">
        <v>100</v>
      </c>
      <c r="W9" s="20" t="s">
        <v>100</v>
      </c>
      <c r="X9" s="20" t="s">
        <v>100</v>
      </c>
      <c r="Y9" s="20" t="s">
        <v>95</v>
      </c>
      <c r="Z9" s="20" t="s">
        <v>95</v>
      </c>
      <c r="AA9" s="20" t="s">
        <v>95</v>
      </c>
      <c r="AB9" s="20" t="s">
        <v>95</v>
      </c>
      <c r="AC9" s="20" t="s">
        <v>95</v>
      </c>
      <c r="AD9" s="20" t="s">
        <v>96</v>
      </c>
      <c r="AE9" s="20" t="s">
        <v>97</v>
      </c>
      <c r="AF9" s="21"/>
    </row>
    <row r="10" customFormat="false" ht="13.5" hidden="false" customHeight="false" outlineLevel="0" collapsed="false">
      <c r="A10" s="2" t="s">
        <v>91</v>
      </c>
      <c r="B10" s="2" t="n">
        <v>6</v>
      </c>
      <c r="C10" s="17" t="n">
        <v>149000</v>
      </c>
      <c r="D10" s="17" t="n">
        <v>559000</v>
      </c>
      <c r="E10" s="17" t="n">
        <v>148987.971</v>
      </c>
      <c r="F10" s="17" t="n">
        <v>559015.426</v>
      </c>
      <c r="G10" s="18" t="n">
        <v>45960.5069675926</v>
      </c>
      <c r="H10" s="19" t="n">
        <v>4.78</v>
      </c>
      <c r="I10" s="19" t="s">
        <v>92</v>
      </c>
      <c r="J10" s="19" t="s">
        <v>92</v>
      </c>
      <c r="K10" s="20" t="n">
        <v>0</v>
      </c>
      <c r="L10" s="20" t="s">
        <v>92</v>
      </c>
      <c r="M10" s="20" t="s">
        <v>92</v>
      </c>
      <c r="N10" s="20" t="s">
        <v>92</v>
      </c>
      <c r="O10" s="20" t="s">
        <v>98</v>
      </c>
      <c r="P10" s="20" t="s">
        <v>98</v>
      </c>
      <c r="Q10" s="20" t="s">
        <v>101</v>
      </c>
      <c r="R10" s="20" t="s">
        <v>98</v>
      </c>
      <c r="S10" s="20" t="s">
        <v>93</v>
      </c>
      <c r="T10" s="20" t="s">
        <v>99</v>
      </c>
      <c r="U10" s="20" t="s">
        <v>100</v>
      </c>
      <c r="V10" s="20" t="s">
        <v>102</v>
      </c>
      <c r="W10" s="20" t="s">
        <v>100</v>
      </c>
      <c r="X10" s="20" t="s">
        <v>94</v>
      </c>
      <c r="Y10" s="20" t="s">
        <v>92</v>
      </c>
      <c r="Z10" s="20" t="s">
        <v>92</v>
      </c>
      <c r="AA10" s="20" t="s">
        <v>92</v>
      </c>
      <c r="AB10" s="20" t="s">
        <v>92</v>
      </c>
      <c r="AC10" s="20" t="s">
        <v>92</v>
      </c>
      <c r="AD10" s="20" t="s">
        <v>96</v>
      </c>
      <c r="AE10" s="20" t="s">
        <v>97</v>
      </c>
      <c r="AF10" s="21"/>
    </row>
    <row r="11" customFormat="false" ht="13.5" hidden="false" customHeight="false" outlineLevel="0" collapsed="false">
      <c r="A11" s="2" t="s">
        <v>91</v>
      </c>
      <c r="B11" s="2" t="n">
        <v>7</v>
      </c>
      <c r="C11" s="17" t="n">
        <v>153000</v>
      </c>
      <c r="D11" s="17" t="n">
        <v>559000</v>
      </c>
      <c r="E11" s="17" t="n">
        <v>152985.998</v>
      </c>
      <c r="F11" s="17" t="n">
        <v>558995.762</v>
      </c>
      <c r="G11" s="18" t="n">
        <v>45959.4038657407</v>
      </c>
      <c r="H11" s="19" t="n">
        <v>6.68</v>
      </c>
      <c r="I11" s="19" t="n">
        <v>0.3</v>
      </c>
      <c r="J11" s="19" t="n">
        <v>2</v>
      </c>
      <c r="K11" s="20" t="n">
        <v>0</v>
      </c>
      <c r="L11" s="20" t="s">
        <v>92</v>
      </c>
      <c r="M11" s="20" t="s">
        <v>92</v>
      </c>
      <c r="N11" s="20" t="s">
        <v>92</v>
      </c>
      <c r="O11" s="20" t="s">
        <v>101</v>
      </c>
      <c r="P11" s="20" t="s">
        <v>93</v>
      </c>
      <c r="Q11" s="20" t="s">
        <v>101</v>
      </c>
      <c r="R11" s="20" t="s">
        <v>101</v>
      </c>
      <c r="S11" s="20" t="s">
        <v>93</v>
      </c>
      <c r="T11" s="20" t="s">
        <v>102</v>
      </c>
      <c r="U11" s="20" t="s">
        <v>94</v>
      </c>
      <c r="V11" s="20" t="s">
        <v>102</v>
      </c>
      <c r="W11" s="20" t="s">
        <v>102</v>
      </c>
      <c r="X11" s="20" t="s">
        <v>94</v>
      </c>
      <c r="Y11" s="20" t="s">
        <v>92</v>
      </c>
      <c r="Z11" s="20" t="s">
        <v>95</v>
      </c>
      <c r="AA11" s="20" t="s">
        <v>92</v>
      </c>
      <c r="AB11" s="20" t="s">
        <v>92</v>
      </c>
      <c r="AC11" s="20" t="s">
        <v>92</v>
      </c>
      <c r="AD11" s="20" t="s">
        <v>96</v>
      </c>
      <c r="AE11" s="20" t="s">
        <v>103</v>
      </c>
      <c r="AF11" s="21"/>
    </row>
    <row r="12" customFormat="false" ht="13.5" hidden="false" customHeight="false" outlineLevel="0" collapsed="false">
      <c r="A12" s="2" t="s">
        <v>91</v>
      </c>
      <c r="B12" s="2" t="n">
        <v>8</v>
      </c>
      <c r="C12" s="17" t="n">
        <v>143000</v>
      </c>
      <c r="D12" s="17" t="n">
        <v>557000</v>
      </c>
      <c r="E12" s="17" t="n">
        <v>143009.28</v>
      </c>
      <c r="F12" s="17" t="n">
        <v>557019.094</v>
      </c>
      <c r="G12" s="18" t="n">
        <v>45960.4072222222</v>
      </c>
      <c r="H12" s="19" t="n">
        <v>4.94</v>
      </c>
      <c r="I12" s="19" t="s">
        <v>92</v>
      </c>
      <c r="J12" s="19" t="s">
        <v>92</v>
      </c>
      <c r="K12" s="20" t="n">
        <v>0</v>
      </c>
      <c r="L12" s="20" t="s">
        <v>92</v>
      </c>
      <c r="M12" s="20" t="s">
        <v>92</v>
      </c>
      <c r="N12" s="20" t="s">
        <v>92</v>
      </c>
      <c r="O12" s="20" t="s">
        <v>93</v>
      </c>
      <c r="P12" s="20" t="s">
        <v>98</v>
      </c>
      <c r="Q12" s="20" t="s">
        <v>93</v>
      </c>
      <c r="R12" s="20" t="s">
        <v>93</v>
      </c>
      <c r="S12" s="20" t="s">
        <v>98</v>
      </c>
      <c r="T12" s="20" t="s">
        <v>94</v>
      </c>
      <c r="U12" s="20" t="s">
        <v>100</v>
      </c>
      <c r="V12" s="20" t="s">
        <v>94</v>
      </c>
      <c r="W12" s="20" t="s">
        <v>94</v>
      </c>
      <c r="X12" s="20" t="s">
        <v>100</v>
      </c>
      <c r="Y12" s="20" t="s">
        <v>92</v>
      </c>
      <c r="Z12" s="20" t="s">
        <v>92</v>
      </c>
      <c r="AA12" s="20" t="s">
        <v>92</v>
      </c>
      <c r="AB12" s="20" t="s">
        <v>92</v>
      </c>
      <c r="AC12" s="20" t="s">
        <v>92</v>
      </c>
      <c r="AD12" s="20" t="s">
        <v>96</v>
      </c>
      <c r="AE12" s="20" t="s">
        <v>97</v>
      </c>
      <c r="AF12" s="21"/>
    </row>
    <row r="13" customFormat="false" ht="13.5" hidden="false" customHeight="false" outlineLevel="0" collapsed="false">
      <c r="A13" s="2" t="s">
        <v>91</v>
      </c>
      <c r="B13" s="2" t="n">
        <v>9</v>
      </c>
      <c r="C13" s="17" t="n">
        <v>147000</v>
      </c>
      <c r="D13" s="17" t="n">
        <v>557000</v>
      </c>
      <c r="E13" s="17" t="n">
        <v>146997.063</v>
      </c>
      <c r="F13" s="17" t="n">
        <v>556997.741</v>
      </c>
      <c r="G13" s="18" t="n">
        <v>45960.5227893519</v>
      </c>
      <c r="H13" s="19" t="n">
        <v>4.88</v>
      </c>
      <c r="I13" s="19" t="n">
        <v>2</v>
      </c>
      <c r="J13" s="19" t="n">
        <v>0.4</v>
      </c>
      <c r="K13" s="20" t="n">
        <v>0</v>
      </c>
      <c r="L13" s="20" t="s">
        <v>92</v>
      </c>
      <c r="M13" s="20" t="s">
        <v>92</v>
      </c>
      <c r="N13" s="20" t="s">
        <v>92</v>
      </c>
      <c r="O13" s="20" t="s">
        <v>98</v>
      </c>
      <c r="P13" s="20" t="s">
        <v>98</v>
      </c>
      <c r="Q13" s="20" t="s">
        <v>98</v>
      </c>
      <c r="R13" s="20" t="s">
        <v>98</v>
      </c>
      <c r="S13" s="20" t="s">
        <v>98</v>
      </c>
      <c r="T13" s="20" t="s">
        <v>99</v>
      </c>
      <c r="U13" s="20" t="s">
        <v>99</v>
      </c>
      <c r="V13" s="20" t="s">
        <v>99</v>
      </c>
      <c r="W13" s="20" t="s">
        <v>99</v>
      </c>
      <c r="X13" s="20" t="s">
        <v>99</v>
      </c>
      <c r="Y13" s="20" t="s">
        <v>92</v>
      </c>
      <c r="Z13" s="20" t="s">
        <v>92</v>
      </c>
      <c r="AA13" s="20" t="s">
        <v>95</v>
      </c>
      <c r="AB13" s="20" t="s">
        <v>92</v>
      </c>
      <c r="AC13" s="20" t="s">
        <v>92</v>
      </c>
      <c r="AD13" s="20" t="s">
        <v>96</v>
      </c>
      <c r="AE13" s="20" t="s">
        <v>97</v>
      </c>
      <c r="AF13" s="21"/>
    </row>
    <row r="14" customFormat="false" ht="13.5" hidden="false" customHeight="false" outlineLevel="0" collapsed="false">
      <c r="A14" s="2" t="s">
        <v>91</v>
      </c>
      <c r="B14" s="2" t="n">
        <v>10</v>
      </c>
      <c r="C14" s="17" t="n">
        <v>151000</v>
      </c>
      <c r="D14" s="17" t="n">
        <v>557000</v>
      </c>
      <c r="E14" s="17" t="n">
        <v>151001.867</v>
      </c>
      <c r="F14" s="17" t="n">
        <v>556993.679</v>
      </c>
      <c r="G14" s="18" t="n">
        <v>45959.4220833333</v>
      </c>
      <c r="H14" s="19" t="n">
        <v>5.275</v>
      </c>
      <c r="I14" s="19" t="s">
        <v>92</v>
      </c>
      <c r="J14" s="19" t="s">
        <v>92</v>
      </c>
      <c r="K14" s="20" t="n">
        <v>0</v>
      </c>
      <c r="L14" s="20" t="s">
        <v>92</v>
      </c>
      <c r="M14" s="20" t="s">
        <v>92</v>
      </c>
      <c r="N14" s="20" t="s">
        <v>92</v>
      </c>
      <c r="O14" s="20" t="s">
        <v>101</v>
      </c>
      <c r="P14" s="20" t="s">
        <v>101</v>
      </c>
      <c r="Q14" s="20" t="s">
        <v>93</v>
      </c>
      <c r="R14" s="20" t="s">
        <v>93</v>
      </c>
      <c r="S14" s="20" t="s">
        <v>101</v>
      </c>
      <c r="T14" s="20" t="s">
        <v>102</v>
      </c>
      <c r="U14" s="20" t="s">
        <v>102</v>
      </c>
      <c r="V14" s="20" t="s">
        <v>94</v>
      </c>
      <c r="W14" s="20" t="s">
        <v>94</v>
      </c>
      <c r="X14" s="20" t="s">
        <v>102</v>
      </c>
      <c r="Y14" s="20" t="s">
        <v>92</v>
      </c>
      <c r="Z14" s="20" t="s">
        <v>92</v>
      </c>
      <c r="AA14" s="20" t="s">
        <v>92</v>
      </c>
      <c r="AB14" s="20" t="s">
        <v>92</v>
      </c>
      <c r="AC14" s="20" t="s">
        <v>92</v>
      </c>
      <c r="AD14" s="20" t="s">
        <v>96</v>
      </c>
      <c r="AE14" s="20" t="s">
        <v>103</v>
      </c>
      <c r="AF14" s="21" t="s">
        <v>104</v>
      </c>
    </row>
    <row r="15" customFormat="false" ht="13.5" hidden="false" customHeight="false" outlineLevel="0" collapsed="false">
      <c r="A15" s="2" t="s">
        <v>91</v>
      </c>
      <c r="B15" s="2" t="n">
        <v>11</v>
      </c>
      <c r="C15" s="17" t="n">
        <v>154700</v>
      </c>
      <c r="D15" s="17" t="n">
        <v>556900</v>
      </c>
      <c r="E15" s="17" t="n">
        <v>154693.213</v>
      </c>
      <c r="F15" s="17" t="n">
        <v>556900.906</v>
      </c>
      <c r="G15" s="18" t="n">
        <v>45959.3885300926</v>
      </c>
      <c r="H15" s="19" t="n">
        <v>2.6</v>
      </c>
      <c r="I15" s="19" t="n">
        <v>0.05</v>
      </c>
      <c r="J15" s="19" t="s">
        <v>92</v>
      </c>
      <c r="K15" s="20" t="n">
        <v>0</v>
      </c>
      <c r="L15" s="20" t="s">
        <v>92</v>
      </c>
      <c r="M15" s="20" t="s">
        <v>92</v>
      </c>
      <c r="N15" s="20" t="s">
        <v>92</v>
      </c>
      <c r="O15" s="20" t="s">
        <v>93</v>
      </c>
      <c r="P15" s="20" t="s">
        <v>93</v>
      </c>
      <c r="Q15" s="20" t="s">
        <v>93</v>
      </c>
      <c r="R15" s="20" t="s">
        <v>93</v>
      </c>
      <c r="S15" s="20" t="s">
        <v>93</v>
      </c>
      <c r="T15" s="20" t="s">
        <v>94</v>
      </c>
      <c r="U15" s="20" t="s">
        <v>94</v>
      </c>
      <c r="V15" s="20" t="s">
        <v>94</v>
      </c>
      <c r="W15" s="20" t="s">
        <v>94</v>
      </c>
      <c r="X15" s="20" t="s">
        <v>94</v>
      </c>
      <c r="Y15" s="20" t="s">
        <v>92</v>
      </c>
      <c r="Z15" s="20" t="s">
        <v>92</v>
      </c>
      <c r="AA15" s="20" t="s">
        <v>92</v>
      </c>
      <c r="AB15" s="20" t="s">
        <v>92</v>
      </c>
      <c r="AC15" s="20" t="s">
        <v>92</v>
      </c>
      <c r="AD15" s="20" t="s">
        <v>96</v>
      </c>
      <c r="AE15" s="20" t="s">
        <v>103</v>
      </c>
      <c r="AF15" s="21"/>
    </row>
    <row r="16" customFormat="false" ht="13.5" hidden="false" customHeight="false" outlineLevel="0" collapsed="false">
      <c r="A16" s="2" t="s">
        <v>91</v>
      </c>
      <c r="B16" s="2" t="n">
        <v>12</v>
      </c>
      <c r="C16" s="17" t="n">
        <v>141000</v>
      </c>
      <c r="D16" s="17" t="n">
        <v>555000</v>
      </c>
      <c r="E16" s="17" t="n">
        <v>140997.286</v>
      </c>
      <c r="F16" s="17" t="n">
        <v>555012.944</v>
      </c>
      <c r="G16" s="18" t="n">
        <v>45960.3902083333</v>
      </c>
      <c r="H16" s="19" t="n">
        <v>5.76</v>
      </c>
      <c r="I16" s="19" t="n">
        <v>0.2</v>
      </c>
      <c r="J16" s="19" t="n">
        <v>0.1</v>
      </c>
      <c r="K16" s="20" t="n">
        <v>0</v>
      </c>
      <c r="L16" s="20" t="s">
        <v>92</v>
      </c>
      <c r="M16" s="20" t="s">
        <v>92</v>
      </c>
      <c r="N16" s="20" t="s">
        <v>92</v>
      </c>
      <c r="O16" s="20" t="s">
        <v>98</v>
      </c>
      <c r="P16" s="20" t="s">
        <v>98</v>
      </c>
      <c r="Q16" s="20" t="s">
        <v>98</v>
      </c>
      <c r="R16" s="20" t="s">
        <v>93</v>
      </c>
      <c r="S16" s="20" t="s">
        <v>101</v>
      </c>
      <c r="T16" s="20" t="s">
        <v>100</v>
      </c>
      <c r="U16" s="20" t="s">
        <v>100</v>
      </c>
      <c r="V16" s="20" t="s">
        <v>100</v>
      </c>
      <c r="W16" s="20" t="s">
        <v>99</v>
      </c>
      <c r="X16" s="20" t="s">
        <v>102</v>
      </c>
      <c r="Y16" s="20" t="s">
        <v>92</v>
      </c>
      <c r="Z16" s="20" t="s">
        <v>92</v>
      </c>
      <c r="AA16" s="20" t="s">
        <v>95</v>
      </c>
      <c r="AB16" s="20" t="s">
        <v>92</v>
      </c>
      <c r="AC16" s="20" t="s">
        <v>93</v>
      </c>
      <c r="AD16" s="20" t="s">
        <v>96</v>
      </c>
      <c r="AE16" s="20" t="s">
        <v>97</v>
      </c>
      <c r="AF16" s="21"/>
    </row>
    <row r="17" customFormat="false" ht="13.5" hidden="false" customHeight="false" outlineLevel="0" collapsed="false">
      <c r="A17" s="2" t="s">
        <v>91</v>
      </c>
      <c r="B17" s="2" t="n">
        <v>13</v>
      </c>
      <c r="C17" s="17" t="n">
        <v>145000</v>
      </c>
      <c r="D17" s="17" t="n">
        <v>555000</v>
      </c>
      <c r="E17" s="17" t="n">
        <v>145000.635</v>
      </c>
      <c r="F17" s="17" t="n">
        <v>554997.252</v>
      </c>
      <c r="G17" s="18" t="n">
        <v>45960.5376736111</v>
      </c>
      <c r="H17" s="19" t="n">
        <v>3.88</v>
      </c>
      <c r="I17" s="19" t="s">
        <v>92</v>
      </c>
      <c r="J17" s="19" t="s">
        <v>92</v>
      </c>
      <c r="K17" s="20" t="n">
        <v>0</v>
      </c>
      <c r="L17" s="20" t="s">
        <v>92</v>
      </c>
      <c r="M17" s="20" t="s">
        <v>92</v>
      </c>
      <c r="N17" s="20" t="s">
        <v>92</v>
      </c>
      <c r="O17" s="20" t="s">
        <v>93</v>
      </c>
      <c r="P17" s="20" t="s">
        <v>93</v>
      </c>
      <c r="Q17" s="20" t="s">
        <v>93</v>
      </c>
      <c r="R17" s="20" t="s">
        <v>93</v>
      </c>
      <c r="S17" s="20" t="s">
        <v>93</v>
      </c>
      <c r="T17" s="20" t="s">
        <v>94</v>
      </c>
      <c r="U17" s="20" t="s">
        <v>94</v>
      </c>
      <c r="V17" s="20" t="s">
        <v>94</v>
      </c>
      <c r="W17" s="20" t="s">
        <v>94</v>
      </c>
      <c r="X17" s="20" t="s">
        <v>94</v>
      </c>
      <c r="Y17" s="20" t="s">
        <v>92</v>
      </c>
      <c r="Z17" s="20" t="s">
        <v>92</v>
      </c>
      <c r="AA17" s="20" t="s">
        <v>92</v>
      </c>
      <c r="AB17" s="20" t="s">
        <v>92</v>
      </c>
      <c r="AC17" s="20" t="s">
        <v>92</v>
      </c>
      <c r="AD17" s="20" t="s">
        <v>96</v>
      </c>
      <c r="AE17" s="20" t="s">
        <v>97</v>
      </c>
      <c r="AF17" s="21"/>
    </row>
    <row r="18" customFormat="false" ht="13.5" hidden="false" customHeight="false" outlineLevel="0" collapsed="false">
      <c r="A18" s="2" t="s">
        <v>91</v>
      </c>
      <c r="B18" s="2" t="n">
        <v>14</v>
      </c>
      <c r="C18" s="17" t="n">
        <v>149000</v>
      </c>
      <c r="D18" s="17" t="n">
        <v>555000</v>
      </c>
      <c r="E18" s="17" t="n">
        <v>148996.857</v>
      </c>
      <c r="F18" s="17" t="n">
        <v>555022.267</v>
      </c>
      <c r="G18" s="18" t="n">
        <v>45960.5709953704</v>
      </c>
      <c r="H18" s="19" t="n">
        <v>4.6</v>
      </c>
      <c r="I18" s="19" t="s">
        <v>92</v>
      </c>
      <c r="J18" s="19" t="s">
        <v>92</v>
      </c>
      <c r="K18" s="20" t="n">
        <v>0</v>
      </c>
      <c r="L18" s="20" t="s">
        <v>92</v>
      </c>
      <c r="M18" s="20" t="s">
        <v>92</v>
      </c>
      <c r="N18" s="20" t="s">
        <v>92</v>
      </c>
      <c r="O18" s="20" t="s">
        <v>93</v>
      </c>
      <c r="P18" s="20" t="s">
        <v>93</v>
      </c>
      <c r="Q18" s="20" t="s">
        <v>93</v>
      </c>
      <c r="R18" s="20" t="s">
        <v>93</v>
      </c>
      <c r="S18" s="20" t="s">
        <v>93</v>
      </c>
      <c r="T18" s="20" t="s">
        <v>94</v>
      </c>
      <c r="U18" s="20" t="s">
        <v>94</v>
      </c>
      <c r="V18" s="20" t="s">
        <v>94</v>
      </c>
      <c r="W18" s="20" t="s">
        <v>94</v>
      </c>
      <c r="X18" s="20" t="s">
        <v>94</v>
      </c>
      <c r="Y18" s="20" t="s">
        <v>92</v>
      </c>
      <c r="Z18" s="20" t="s">
        <v>92</v>
      </c>
      <c r="AA18" s="20" t="s">
        <v>92</v>
      </c>
      <c r="AB18" s="20" t="s">
        <v>92</v>
      </c>
      <c r="AC18" s="20" t="s">
        <v>92</v>
      </c>
      <c r="AD18" s="20" t="s">
        <v>96</v>
      </c>
      <c r="AE18" s="20" t="s">
        <v>97</v>
      </c>
      <c r="AF18" s="21"/>
    </row>
    <row r="19" customFormat="false" ht="13.5" hidden="false" customHeight="false" outlineLevel="0" collapsed="false">
      <c r="A19" s="2" t="s">
        <v>91</v>
      </c>
      <c r="B19" s="2" t="n">
        <v>15</v>
      </c>
      <c r="C19" s="17" t="n">
        <v>153000</v>
      </c>
      <c r="D19" s="17" t="n">
        <v>555000</v>
      </c>
      <c r="E19" s="17" t="n">
        <v>152988.306</v>
      </c>
      <c r="F19" s="17" t="n">
        <v>554995.161</v>
      </c>
      <c r="G19" s="18" t="n">
        <v>45959.3724884259</v>
      </c>
      <c r="H19" s="19" t="n">
        <v>3.46</v>
      </c>
      <c r="I19" s="19" t="s">
        <v>92</v>
      </c>
      <c r="J19" s="19" t="s">
        <v>92</v>
      </c>
      <c r="K19" s="20" t="n">
        <v>0</v>
      </c>
      <c r="L19" s="20" t="s">
        <v>92</v>
      </c>
      <c r="M19" s="20" t="s">
        <v>92</v>
      </c>
      <c r="N19" s="20" t="s">
        <v>92</v>
      </c>
      <c r="O19" s="20" t="s">
        <v>93</v>
      </c>
      <c r="P19" s="20" t="s">
        <v>93</v>
      </c>
      <c r="Q19" s="20" t="s">
        <v>93</v>
      </c>
      <c r="R19" s="20" t="s">
        <v>93</v>
      </c>
      <c r="S19" s="20" t="s">
        <v>93</v>
      </c>
      <c r="T19" s="20" t="s">
        <v>105</v>
      </c>
      <c r="U19" s="20" t="s">
        <v>105</v>
      </c>
      <c r="V19" s="20" t="s">
        <v>105</v>
      </c>
      <c r="W19" s="20" t="s">
        <v>105</v>
      </c>
      <c r="X19" s="20" t="s">
        <v>105</v>
      </c>
      <c r="Y19" s="20" t="s">
        <v>92</v>
      </c>
      <c r="Z19" s="20" t="s">
        <v>92</v>
      </c>
      <c r="AA19" s="20" t="s">
        <v>92</v>
      </c>
      <c r="AB19" s="20" t="s">
        <v>92</v>
      </c>
      <c r="AC19" s="20" t="s">
        <v>92</v>
      </c>
      <c r="AD19" s="20" t="s">
        <v>96</v>
      </c>
      <c r="AE19" s="20" t="s">
        <v>103</v>
      </c>
      <c r="AF19" s="21"/>
    </row>
    <row r="20" customFormat="false" ht="13.5" hidden="false" customHeight="false" outlineLevel="0" collapsed="false">
      <c r="A20" s="2" t="s">
        <v>91</v>
      </c>
      <c r="B20" s="2" t="n">
        <v>16</v>
      </c>
      <c r="C20" s="17" t="n">
        <v>139000</v>
      </c>
      <c r="D20" s="17" t="n">
        <v>553000</v>
      </c>
      <c r="E20" s="17" t="n">
        <v>138996.376</v>
      </c>
      <c r="F20" s="17" t="n">
        <v>553001.921</v>
      </c>
      <c r="G20" s="18" t="n">
        <v>45951.5220023148</v>
      </c>
      <c r="H20" s="19" t="n">
        <v>4.02</v>
      </c>
      <c r="I20" s="19" t="n">
        <v>2.3</v>
      </c>
      <c r="J20" s="19" t="n">
        <v>1</v>
      </c>
      <c r="K20" s="20" t="n">
        <v>0</v>
      </c>
      <c r="L20" s="20" t="s">
        <v>92</v>
      </c>
      <c r="M20" s="20" t="s">
        <v>92</v>
      </c>
      <c r="N20" s="20" t="s">
        <v>92</v>
      </c>
      <c r="O20" s="20" t="s">
        <v>93</v>
      </c>
      <c r="P20" s="20" t="s">
        <v>93</v>
      </c>
      <c r="Q20" s="20" t="s">
        <v>93</v>
      </c>
      <c r="R20" s="20" t="s">
        <v>93</v>
      </c>
      <c r="S20" s="20" t="s">
        <v>93</v>
      </c>
      <c r="T20" s="20" t="s">
        <v>94</v>
      </c>
      <c r="U20" s="20" t="s">
        <v>94</v>
      </c>
      <c r="V20" s="20" t="s">
        <v>94</v>
      </c>
      <c r="W20" s="20" t="s">
        <v>94</v>
      </c>
      <c r="X20" s="20" t="s">
        <v>94</v>
      </c>
      <c r="Y20" s="20" t="s">
        <v>92</v>
      </c>
      <c r="Z20" s="20" t="s">
        <v>95</v>
      </c>
      <c r="AA20" s="20" t="s">
        <v>95</v>
      </c>
      <c r="AB20" s="20" t="s">
        <v>92</v>
      </c>
      <c r="AC20" s="20" t="s">
        <v>95</v>
      </c>
      <c r="AD20" s="20" t="s">
        <v>96</v>
      </c>
      <c r="AE20" s="20" t="s">
        <v>106</v>
      </c>
      <c r="AF20" s="21"/>
    </row>
    <row r="21" customFormat="false" ht="13.5" hidden="false" customHeight="false" outlineLevel="0" collapsed="false">
      <c r="A21" s="2" t="s">
        <v>91</v>
      </c>
      <c r="B21" s="2" t="n">
        <v>17</v>
      </c>
      <c r="C21" s="17" t="n">
        <v>143000</v>
      </c>
      <c r="D21" s="17" t="n">
        <v>553000</v>
      </c>
      <c r="E21" s="17" t="n">
        <v>142998.528</v>
      </c>
      <c r="F21" s="17" t="n">
        <v>552997.717</v>
      </c>
      <c r="G21" s="18" t="n">
        <v>45960.374849537</v>
      </c>
      <c r="H21" s="19" t="n">
        <v>4.64</v>
      </c>
      <c r="I21" s="19" t="n">
        <v>9</v>
      </c>
      <c r="J21" s="19" t="n">
        <v>30</v>
      </c>
      <c r="K21" s="20" t="n">
        <v>0</v>
      </c>
      <c r="L21" s="20" t="s">
        <v>92</v>
      </c>
      <c r="M21" s="20" t="s">
        <v>92</v>
      </c>
      <c r="N21" s="20" t="s">
        <v>92</v>
      </c>
      <c r="O21" s="20" t="s">
        <v>93</v>
      </c>
      <c r="P21" s="20" t="s">
        <v>93</v>
      </c>
      <c r="Q21" s="20" t="s">
        <v>93</v>
      </c>
      <c r="R21" s="20" t="s">
        <v>93</v>
      </c>
      <c r="S21" s="20" t="s">
        <v>93</v>
      </c>
      <c r="T21" s="20" t="s">
        <v>94</v>
      </c>
      <c r="U21" s="20" t="s">
        <v>94</v>
      </c>
      <c r="V21" s="20" t="s">
        <v>94</v>
      </c>
      <c r="W21" s="20" t="s">
        <v>94</v>
      </c>
      <c r="X21" s="20" t="s">
        <v>94</v>
      </c>
      <c r="Y21" s="20" t="s">
        <v>95</v>
      </c>
      <c r="Z21" s="20" t="s">
        <v>95</v>
      </c>
      <c r="AA21" s="20" t="s">
        <v>95</v>
      </c>
      <c r="AB21" s="20" t="s">
        <v>95</v>
      </c>
      <c r="AC21" s="20" t="s">
        <v>95</v>
      </c>
      <c r="AD21" s="20" t="s">
        <v>96</v>
      </c>
      <c r="AE21" s="20" t="s">
        <v>97</v>
      </c>
      <c r="AF21" s="21"/>
    </row>
    <row r="22" customFormat="false" ht="13.5" hidden="false" customHeight="false" outlineLevel="0" collapsed="false">
      <c r="A22" s="2" t="s">
        <v>91</v>
      </c>
      <c r="B22" s="2" t="n">
        <v>18</v>
      </c>
      <c r="C22" s="17" t="n">
        <v>147000</v>
      </c>
      <c r="D22" s="17" t="n">
        <v>553000</v>
      </c>
      <c r="E22" s="17" t="n">
        <v>147012.309</v>
      </c>
      <c r="F22" s="17" t="n">
        <v>553003.362</v>
      </c>
      <c r="G22" s="18" t="n">
        <v>45960.5529050926</v>
      </c>
      <c r="H22" s="19" t="n">
        <v>4.78</v>
      </c>
      <c r="I22" s="19" t="n">
        <v>3.5</v>
      </c>
      <c r="J22" s="19" t="n">
        <v>1.6</v>
      </c>
      <c r="K22" s="20" t="n">
        <v>0</v>
      </c>
      <c r="L22" s="20" t="s">
        <v>92</v>
      </c>
      <c r="M22" s="20" t="s">
        <v>92</v>
      </c>
      <c r="N22" s="20" t="s">
        <v>92</v>
      </c>
      <c r="O22" s="20" t="s">
        <v>93</v>
      </c>
      <c r="P22" s="20" t="s">
        <v>93</v>
      </c>
      <c r="Q22" s="20" t="s">
        <v>93</v>
      </c>
      <c r="R22" s="20" t="s">
        <v>93</v>
      </c>
      <c r="S22" s="20" t="s">
        <v>93</v>
      </c>
      <c r="T22" s="20" t="s">
        <v>99</v>
      </c>
      <c r="U22" s="20" t="s">
        <v>99</v>
      </c>
      <c r="V22" s="20" t="s">
        <v>99</v>
      </c>
      <c r="W22" s="20" t="s">
        <v>99</v>
      </c>
      <c r="X22" s="20" t="s">
        <v>94</v>
      </c>
      <c r="Y22" s="20" t="s">
        <v>93</v>
      </c>
      <c r="Z22" s="20" t="s">
        <v>92</v>
      </c>
      <c r="AA22" s="20" t="s">
        <v>93</v>
      </c>
      <c r="AB22" s="20" t="s">
        <v>92</v>
      </c>
      <c r="AC22" s="20" t="s">
        <v>93</v>
      </c>
      <c r="AD22" s="20" t="s">
        <v>96</v>
      </c>
      <c r="AE22" s="20" t="s">
        <v>97</v>
      </c>
      <c r="AF22" s="21"/>
    </row>
    <row r="23" customFormat="false" ht="13.5" hidden="false" customHeight="false" outlineLevel="0" collapsed="false">
      <c r="A23" s="2" t="s">
        <v>91</v>
      </c>
      <c r="B23" s="2" t="n">
        <v>19</v>
      </c>
      <c r="C23" s="17" t="n">
        <v>151000</v>
      </c>
      <c r="D23" s="17" t="n">
        <v>553000</v>
      </c>
      <c r="E23" s="17" t="n">
        <v>151042.159</v>
      </c>
      <c r="F23" s="17" t="n">
        <v>552966.358</v>
      </c>
      <c r="G23" s="18" t="n">
        <v>45959.4514351852</v>
      </c>
      <c r="H23" s="19" t="n">
        <v>5.34</v>
      </c>
      <c r="I23" s="19" t="n">
        <v>0.2</v>
      </c>
      <c r="J23" s="19" t="n">
        <v>3</v>
      </c>
      <c r="K23" s="20" t="n">
        <v>0</v>
      </c>
      <c r="L23" s="20" t="s">
        <v>92</v>
      </c>
      <c r="M23" s="20" t="s">
        <v>92</v>
      </c>
      <c r="N23" s="20" t="s">
        <v>92</v>
      </c>
      <c r="O23" s="20" t="s">
        <v>93</v>
      </c>
      <c r="P23" s="20" t="s">
        <v>93</v>
      </c>
      <c r="Q23" s="20" t="s">
        <v>93</v>
      </c>
      <c r="R23" s="20" t="s">
        <v>93</v>
      </c>
      <c r="S23" s="20" t="s">
        <v>93</v>
      </c>
      <c r="T23" s="20" t="s">
        <v>94</v>
      </c>
      <c r="U23" s="20" t="s">
        <v>94</v>
      </c>
      <c r="V23" s="20" t="s">
        <v>94</v>
      </c>
      <c r="W23" s="20" t="s">
        <v>94</v>
      </c>
      <c r="X23" s="20" t="s">
        <v>94</v>
      </c>
      <c r="Y23" s="20" t="s">
        <v>107</v>
      </c>
      <c r="Z23" s="20" t="s">
        <v>92</v>
      </c>
      <c r="AA23" s="20" t="s">
        <v>92</v>
      </c>
      <c r="AB23" s="20" t="s">
        <v>92</v>
      </c>
      <c r="AC23" s="20" t="s">
        <v>92</v>
      </c>
      <c r="AD23" s="20" t="s">
        <v>96</v>
      </c>
      <c r="AE23" s="20" t="s">
        <v>103</v>
      </c>
      <c r="AF23" s="21" t="s">
        <v>108</v>
      </c>
    </row>
    <row r="24" customFormat="false" ht="13.5" hidden="false" customHeight="false" outlineLevel="0" collapsed="false">
      <c r="A24" s="2" t="s">
        <v>91</v>
      </c>
      <c r="B24" s="2" t="n">
        <v>20</v>
      </c>
      <c r="C24" s="17" t="n">
        <v>155000</v>
      </c>
      <c r="D24" s="17" t="n">
        <v>553000</v>
      </c>
      <c r="E24" s="17" t="n">
        <v>155006.418</v>
      </c>
      <c r="F24" s="17" t="n">
        <v>553014.049</v>
      </c>
      <c r="G24" s="18" t="n">
        <v>45959.3565740741</v>
      </c>
      <c r="H24" s="19" t="n">
        <v>3.56</v>
      </c>
      <c r="I24" s="19" t="s">
        <v>92</v>
      </c>
      <c r="J24" s="19" t="s">
        <v>92</v>
      </c>
      <c r="K24" s="20" t="n">
        <v>0</v>
      </c>
      <c r="L24" s="20" t="s">
        <v>92</v>
      </c>
      <c r="M24" s="20" t="s">
        <v>92</v>
      </c>
      <c r="N24" s="20" t="s">
        <v>92</v>
      </c>
      <c r="O24" s="20" t="s">
        <v>93</v>
      </c>
      <c r="P24" s="20" t="s">
        <v>93</v>
      </c>
      <c r="Q24" s="20" t="s">
        <v>93</v>
      </c>
      <c r="R24" s="20" t="s">
        <v>93</v>
      </c>
      <c r="S24" s="20" t="s">
        <v>93</v>
      </c>
      <c r="T24" s="20" t="s">
        <v>105</v>
      </c>
      <c r="U24" s="20" t="s">
        <v>105</v>
      </c>
      <c r="V24" s="20" t="s">
        <v>105</v>
      </c>
      <c r="W24" s="20" t="s">
        <v>105</v>
      </c>
      <c r="X24" s="20" t="s">
        <v>105</v>
      </c>
      <c r="Y24" s="20" t="s">
        <v>92</v>
      </c>
      <c r="Z24" s="20" t="s">
        <v>92</v>
      </c>
      <c r="AA24" s="20" t="s">
        <v>92</v>
      </c>
      <c r="AB24" s="20" t="s">
        <v>92</v>
      </c>
      <c r="AC24" s="20" t="s">
        <v>92</v>
      </c>
      <c r="AD24" s="20" t="s">
        <v>96</v>
      </c>
      <c r="AE24" s="20" t="s">
        <v>103</v>
      </c>
      <c r="AF24" s="21"/>
    </row>
    <row r="25" customFormat="false" ht="13.5" hidden="false" customHeight="false" outlineLevel="0" collapsed="false">
      <c r="A25" s="2" t="s">
        <v>91</v>
      </c>
      <c r="B25" s="2" t="n">
        <v>21</v>
      </c>
      <c r="C25" s="17" t="n">
        <v>137000</v>
      </c>
      <c r="D25" s="17" t="n">
        <v>551000</v>
      </c>
      <c r="E25" s="17" t="n">
        <v>136996.399</v>
      </c>
      <c r="F25" s="17" t="n">
        <v>551001.517</v>
      </c>
      <c r="G25" s="18" t="n">
        <v>45951.5392361111</v>
      </c>
      <c r="H25" s="19" t="n">
        <v>5.32</v>
      </c>
      <c r="I25" s="19" t="n">
        <v>1.6</v>
      </c>
      <c r="J25" s="19" t="n">
        <v>9.5</v>
      </c>
      <c r="K25" s="20" t="n">
        <v>0</v>
      </c>
      <c r="L25" s="20" t="s">
        <v>92</v>
      </c>
      <c r="M25" s="20" t="s">
        <v>92</v>
      </c>
      <c r="N25" s="20" t="s">
        <v>92</v>
      </c>
      <c r="O25" s="20" t="s">
        <v>93</v>
      </c>
      <c r="P25" s="20" t="s">
        <v>93</v>
      </c>
      <c r="Q25" s="20" t="s">
        <v>93</v>
      </c>
      <c r="R25" s="20" t="s">
        <v>93</v>
      </c>
      <c r="S25" s="20" t="s">
        <v>101</v>
      </c>
      <c r="T25" s="20" t="s">
        <v>94</v>
      </c>
      <c r="U25" s="20" t="s">
        <v>94</v>
      </c>
      <c r="V25" s="20" t="s">
        <v>94</v>
      </c>
      <c r="W25" s="20" t="s">
        <v>99</v>
      </c>
      <c r="X25" s="20" t="s">
        <v>102</v>
      </c>
      <c r="Y25" s="20" t="s">
        <v>95</v>
      </c>
      <c r="Z25" s="20" t="s">
        <v>95</v>
      </c>
      <c r="AA25" s="20" t="s">
        <v>95</v>
      </c>
      <c r="AB25" s="20" t="s">
        <v>95</v>
      </c>
      <c r="AC25" s="20" t="s">
        <v>92</v>
      </c>
      <c r="AD25" s="20" t="s">
        <v>109</v>
      </c>
      <c r="AE25" s="20" t="s">
        <v>106</v>
      </c>
      <c r="AF25" s="21"/>
    </row>
    <row r="26" customFormat="false" ht="13.5" hidden="false" customHeight="false" outlineLevel="0" collapsed="false">
      <c r="A26" s="2" t="s">
        <v>91</v>
      </c>
      <c r="B26" s="2" t="n">
        <v>22</v>
      </c>
      <c r="C26" s="17" t="n">
        <v>141000</v>
      </c>
      <c r="D26" s="17" t="n">
        <v>551000</v>
      </c>
      <c r="E26" s="17" t="n">
        <v>141006.819</v>
      </c>
      <c r="F26" s="17" t="n">
        <v>551027.249</v>
      </c>
      <c r="G26" s="18" t="n">
        <v>45951.5056018519</v>
      </c>
      <c r="H26" s="19" t="n">
        <v>4.84</v>
      </c>
      <c r="I26" s="19" t="n">
        <v>3.5</v>
      </c>
      <c r="J26" s="19" t="n">
        <v>99</v>
      </c>
      <c r="K26" s="20" t="n">
        <v>0</v>
      </c>
      <c r="L26" s="20" t="s">
        <v>92</v>
      </c>
      <c r="M26" s="20" t="s">
        <v>92</v>
      </c>
      <c r="N26" s="20" t="s">
        <v>92</v>
      </c>
      <c r="O26" s="20" t="s">
        <v>110</v>
      </c>
      <c r="P26" s="20" t="s">
        <v>93</v>
      </c>
      <c r="Q26" s="20" t="s">
        <v>93</v>
      </c>
      <c r="R26" s="20" t="s">
        <v>93</v>
      </c>
      <c r="S26" s="20" t="s">
        <v>93</v>
      </c>
      <c r="T26" s="20" t="s">
        <v>94</v>
      </c>
      <c r="U26" s="20" t="s">
        <v>94</v>
      </c>
      <c r="V26" s="20" t="s">
        <v>94</v>
      </c>
      <c r="W26" s="20" t="s">
        <v>94</v>
      </c>
      <c r="X26" s="20" t="s">
        <v>94</v>
      </c>
      <c r="Y26" s="20" t="s">
        <v>95</v>
      </c>
      <c r="Z26" s="20" t="s">
        <v>95</v>
      </c>
      <c r="AA26" s="20" t="s">
        <v>95</v>
      </c>
      <c r="AB26" s="20" t="s">
        <v>95</v>
      </c>
      <c r="AC26" s="20" t="s">
        <v>95</v>
      </c>
      <c r="AD26" s="20" t="s">
        <v>109</v>
      </c>
      <c r="AE26" s="20" t="s">
        <v>106</v>
      </c>
      <c r="AF26" s="21"/>
    </row>
    <row r="27" customFormat="false" ht="13.5" hidden="false" customHeight="false" outlineLevel="0" collapsed="false">
      <c r="A27" s="2" t="s">
        <v>91</v>
      </c>
      <c r="B27" s="2" t="n">
        <v>23</v>
      </c>
      <c r="C27" s="17" t="n">
        <v>145000</v>
      </c>
      <c r="D27" s="17" t="n">
        <v>551000</v>
      </c>
      <c r="E27" s="17" t="n">
        <v>144987.915</v>
      </c>
      <c r="F27" s="17" t="n">
        <v>551010.62</v>
      </c>
      <c r="G27" s="18" t="n">
        <v>45960.3597453704</v>
      </c>
      <c r="H27" s="19" t="n">
        <v>4.18</v>
      </c>
      <c r="I27" s="19" t="n">
        <v>2</v>
      </c>
      <c r="J27" s="19" t="n">
        <v>0.3</v>
      </c>
      <c r="K27" s="20" t="n">
        <v>0</v>
      </c>
      <c r="L27" s="20" t="s">
        <v>92</v>
      </c>
      <c r="M27" s="20" t="s">
        <v>92</v>
      </c>
      <c r="N27" s="20" t="s">
        <v>92</v>
      </c>
      <c r="O27" s="20" t="s">
        <v>93</v>
      </c>
      <c r="P27" s="20" t="s">
        <v>93</v>
      </c>
      <c r="Q27" s="20" t="s">
        <v>93</v>
      </c>
      <c r="R27" s="20" t="s">
        <v>93</v>
      </c>
      <c r="S27" s="20" t="s">
        <v>93</v>
      </c>
      <c r="T27" s="20" t="s">
        <v>94</v>
      </c>
      <c r="U27" s="20" t="s">
        <v>94</v>
      </c>
      <c r="V27" s="20" t="s">
        <v>94</v>
      </c>
      <c r="W27" s="20" t="s">
        <v>94</v>
      </c>
      <c r="X27" s="20" t="s">
        <v>94</v>
      </c>
      <c r="Y27" s="20" t="s">
        <v>92</v>
      </c>
      <c r="Z27" s="20" t="s">
        <v>92</v>
      </c>
      <c r="AA27" s="20" t="s">
        <v>95</v>
      </c>
      <c r="AB27" s="20" t="s">
        <v>93</v>
      </c>
      <c r="AC27" s="20" t="s">
        <v>92</v>
      </c>
      <c r="AD27" s="20" t="s">
        <v>96</v>
      </c>
      <c r="AE27" s="20" t="s">
        <v>97</v>
      </c>
      <c r="AF27" s="21"/>
    </row>
    <row r="28" customFormat="false" ht="13.5" hidden="false" customHeight="false" outlineLevel="0" collapsed="false">
      <c r="A28" s="2" t="s">
        <v>91</v>
      </c>
      <c r="B28" s="2" t="n">
        <v>24</v>
      </c>
      <c r="C28" s="17" t="n">
        <v>149000</v>
      </c>
      <c r="D28" s="17" t="n">
        <v>551000</v>
      </c>
      <c r="E28" s="17" t="n">
        <v>148990.215</v>
      </c>
      <c r="F28" s="17" t="n">
        <v>551009.138</v>
      </c>
      <c r="G28" s="18" t="n">
        <v>45960.5866203704</v>
      </c>
      <c r="H28" s="19" t="n">
        <v>5.46</v>
      </c>
      <c r="I28" s="19" t="n">
        <v>0.1</v>
      </c>
      <c r="J28" s="19" t="n">
        <v>0.05</v>
      </c>
      <c r="K28" s="20" t="n">
        <v>0</v>
      </c>
      <c r="L28" s="20" t="s">
        <v>92</v>
      </c>
      <c r="M28" s="20" t="s">
        <v>92</v>
      </c>
      <c r="N28" s="20" t="s">
        <v>92</v>
      </c>
      <c r="O28" s="20" t="s">
        <v>93</v>
      </c>
      <c r="P28" s="20" t="s">
        <v>93</v>
      </c>
      <c r="Q28" s="20" t="s">
        <v>93</v>
      </c>
      <c r="R28" s="20" t="s">
        <v>93</v>
      </c>
      <c r="S28" s="20" t="s">
        <v>93</v>
      </c>
      <c r="T28" s="20" t="s">
        <v>99</v>
      </c>
      <c r="U28" s="20" t="s">
        <v>99</v>
      </c>
      <c r="V28" s="20" t="s">
        <v>99</v>
      </c>
      <c r="W28" s="20" t="s">
        <v>99</v>
      </c>
      <c r="X28" s="20" t="s">
        <v>99</v>
      </c>
      <c r="Y28" s="20" t="s">
        <v>92</v>
      </c>
      <c r="Z28" s="20" t="s">
        <v>92</v>
      </c>
      <c r="AA28" s="20" t="s">
        <v>92</v>
      </c>
      <c r="AB28" s="20" t="s">
        <v>92</v>
      </c>
      <c r="AC28" s="20" t="s">
        <v>95</v>
      </c>
      <c r="AD28" s="20" t="s">
        <v>96</v>
      </c>
      <c r="AE28" s="20" t="s">
        <v>97</v>
      </c>
      <c r="AF28" s="21"/>
    </row>
    <row r="29" customFormat="false" ht="13.5" hidden="false" customHeight="false" outlineLevel="0" collapsed="false">
      <c r="A29" s="2" t="s">
        <v>91</v>
      </c>
      <c r="B29" s="2" t="n">
        <v>25</v>
      </c>
      <c r="C29" s="17" t="n">
        <v>153000</v>
      </c>
      <c r="D29" s="17" t="n">
        <v>551000</v>
      </c>
      <c r="E29" s="17" t="n">
        <v>153004.264</v>
      </c>
      <c r="F29" s="17" t="n">
        <v>550991.035</v>
      </c>
      <c r="G29" s="18" t="n">
        <v>45952.5820486111</v>
      </c>
      <c r="H29" s="19" t="n">
        <v>4.22</v>
      </c>
      <c r="I29" s="19" t="n">
        <v>0.3</v>
      </c>
      <c r="J29" s="19" t="s">
        <v>92</v>
      </c>
      <c r="K29" s="20" t="n">
        <v>0</v>
      </c>
      <c r="L29" s="20" t="s">
        <v>92</v>
      </c>
      <c r="M29" s="20" t="s">
        <v>92</v>
      </c>
      <c r="N29" s="20" t="s">
        <v>92</v>
      </c>
      <c r="O29" s="20" t="s">
        <v>93</v>
      </c>
      <c r="P29" s="20" t="s">
        <v>93</v>
      </c>
      <c r="Q29" s="20" t="s">
        <v>93</v>
      </c>
      <c r="R29" s="20" t="s">
        <v>93</v>
      </c>
      <c r="S29" s="20" t="s">
        <v>93</v>
      </c>
      <c r="T29" s="20" t="s">
        <v>94</v>
      </c>
      <c r="U29" s="20" t="s">
        <v>94</v>
      </c>
      <c r="V29" s="20" t="s">
        <v>94</v>
      </c>
      <c r="W29" s="20" t="s">
        <v>94</v>
      </c>
      <c r="X29" s="20" t="s">
        <v>94</v>
      </c>
      <c r="Y29" s="20" t="s">
        <v>92</v>
      </c>
      <c r="Z29" s="20" t="s">
        <v>92</v>
      </c>
      <c r="AA29" s="20" t="s">
        <v>92</v>
      </c>
      <c r="AB29" s="20" t="s">
        <v>93</v>
      </c>
      <c r="AC29" s="20" t="s">
        <v>92</v>
      </c>
      <c r="AD29" s="20" t="s">
        <v>96</v>
      </c>
      <c r="AE29" s="20" t="s">
        <v>111</v>
      </c>
      <c r="AF29" s="21"/>
    </row>
    <row r="30" customFormat="false" ht="13.5" hidden="false" customHeight="false" outlineLevel="0" collapsed="false">
      <c r="A30" s="2" t="s">
        <v>91</v>
      </c>
      <c r="B30" s="2" t="n">
        <v>26</v>
      </c>
      <c r="C30" s="17" t="n">
        <v>135000</v>
      </c>
      <c r="D30" s="17" t="n">
        <v>549000</v>
      </c>
      <c r="E30" s="17" t="n">
        <v>134995.011</v>
      </c>
      <c r="F30" s="17" t="n">
        <v>549010.181</v>
      </c>
      <c r="G30" s="18" t="n">
        <v>45951.559849537</v>
      </c>
      <c r="H30" s="19" t="n">
        <v>2.96</v>
      </c>
      <c r="I30" s="19" t="n">
        <v>2.6</v>
      </c>
      <c r="J30" s="19" t="n">
        <v>4</v>
      </c>
      <c r="K30" s="20" t="n">
        <v>0</v>
      </c>
      <c r="L30" s="20" t="n">
        <v>5</v>
      </c>
      <c r="M30" s="20" t="n">
        <v>18</v>
      </c>
      <c r="N30" s="20" t="s">
        <v>92</v>
      </c>
      <c r="O30" s="20" t="s">
        <v>93</v>
      </c>
      <c r="P30" s="20" t="s">
        <v>93</v>
      </c>
      <c r="Q30" s="20" t="s">
        <v>93</v>
      </c>
      <c r="R30" s="20" t="s">
        <v>93</v>
      </c>
      <c r="S30" s="20" t="s">
        <v>93</v>
      </c>
      <c r="T30" s="20" t="s">
        <v>94</v>
      </c>
      <c r="U30" s="20" t="s">
        <v>94</v>
      </c>
      <c r="V30" s="20" t="s">
        <v>94</v>
      </c>
      <c r="W30" s="20" t="s">
        <v>94</v>
      </c>
      <c r="X30" s="20" t="s">
        <v>94</v>
      </c>
      <c r="Y30" s="20" t="s">
        <v>112</v>
      </c>
      <c r="Z30" s="20" t="s">
        <v>95</v>
      </c>
      <c r="AA30" s="20" t="s">
        <v>95</v>
      </c>
      <c r="AB30" s="20" t="s">
        <v>95</v>
      </c>
      <c r="AC30" s="20" t="s">
        <v>95</v>
      </c>
      <c r="AD30" s="20" t="s">
        <v>96</v>
      </c>
      <c r="AE30" s="20" t="s">
        <v>106</v>
      </c>
      <c r="AF30" s="21"/>
    </row>
    <row r="31" customFormat="false" ht="13.5" hidden="false" customHeight="false" outlineLevel="0" collapsed="false">
      <c r="A31" s="2" t="s">
        <v>91</v>
      </c>
      <c r="B31" s="2" t="n">
        <v>27</v>
      </c>
      <c r="C31" s="17" t="n">
        <v>139000</v>
      </c>
      <c r="D31" s="17" t="n">
        <v>549000</v>
      </c>
      <c r="E31" s="17" t="n">
        <v>138984.44</v>
      </c>
      <c r="F31" s="17" t="n">
        <v>548995.387</v>
      </c>
      <c r="G31" s="18" t="n">
        <v>45951.4874189815</v>
      </c>
      <c r="H31" s="19" t="n">
        <v>2.34</v>
      </c>
      <c r="I31" s="19" t="n">
        <v>1</v>
      </c>
      <c r="J31" s="19" t="n">
        <v>1.1</v>
      </c>
      <c r="K31" s="20" t="n">
        <v>0</v>
      </c>
      <c r="L31" s="20" t="n">
        <v>7.5</v>
      </c>
      <c r="M31" s="20" t="n">
        <v>15</v>
      </c>
      <c r="N31" s="20" t="s">
        <v>92</v>
      </c>
      <c r="O31" s="20" t="s">
        <v>93</v>
      </c>
      <c r="P31" s="20" t="s">
        <v>93</v>
      </c>
      <c r="Q31" s="20" t="s">
        <v>93</v>
      </c>
      <c r="R31" s="20" t="s">
        <v>93</v>
      </c>
      <c r="S31" s="20" t="s">
        <v>93</v>
      </c>
      <c r="T31" s="20" t="s">
        <v>94</v>
      </c>
      <c r="U31" s="20" t="s">
        <v>94</v>
      </c>
      <c r="V31" s="20" t="s">
        <v>94</v>
      </c>
      <c r="W31" s="20" t="s">
        <v>94</v>
      </c>
      <c r="X31" s="20" t="s">
        <v>94</v>
      </c>
      <c r="Y31" s="20" t="s">
        <v>92</v>
      </c>
      <c r="Z31" s="20" t="s">
        <v>92</v>
      </c>
      <c r="AA31" s="20" t="s">
        <v>92</v>
      </c>
      <c r="AB31" s="20" t="s">
        <v>95</v>
      </c>
      <c r="AC31" s="20" t="s">
        <v>92</v>
      </c>
      <c r="AD31" s="20" t="s">
        <v>96</v>
      </c>
      <c r="AE31" s="20" t="s">
        <v>106</v>
      </c>
      <c r="AF31" s="21"/>
    </row>
    <row r="32" customFormat="false" ht="13.5" hidden="false" customHeight="false" outlineLevel="0" collapsed="false">
      <c r="A32" s="2" t="s">
        <v>91</v>
      </c>
      <c r="B32" s="2" t="n">
        <v>28</v>
      </c>
      <c r="C32" s="17" t="n">
        <v>143000</v>
      </c>
      <c r="D32" s="17" t="n">
        <v>549000</v>
      </c>
      <c r="E32" s="17" t="n">
        <v>142996.721</v>
      </c>
      <c r="F32" s="17" t="n">
        <v>549003.512</v>
      </c>
      <c r="G32" s="18" t="n">
        <v>45951.4152777778</v>
      </c>
      <c r="H32" s="19" t="n">
        <v>5.48</v>
      </c>
      <c r="I32" s="19" t="s">
        <v>92</v>
      </c>
      <c r="J32" s="19" t="s">
        <v>92</v>
      </c>
      <c r="K32" s="20" t="n">
        <v>0</v>
      </c>
      <c r="L32" s="20" t="s">
        <v>92</v>
      </c>
      <c r="M32" s="20" t="s">
        <v>92</v>
      </c>
      <c r="N32" s="20" t="s">
        <v>92</v>
      </c>
      <c r="O32" s="20" t="s">
        <v>93</v>
      </c>
      <c r="P32" s="20" t="s">
        <v>93</v>
      </c>
      <c r="Q32" s="20" t="s">
        <v>93</v>
      </c>
      <c r="R32" s="20" t="s">
        <v>93</v>
      </c>
      <c r="S32" s="20" t="s">
        <v>93</v>
      </c>
      <c r="T32" s="20" t="s">
        <v>99</v>
      </c>
      <c r="U32" s="20" t="s">
        <v>99</v>
      </c>
      <c r="V32" s="20" t="s">
        <v>99</v>
      </c>
      <c r="W32" s="20" t="s">
        <v>99</v>
      </c>
      <c r="X32" s="20" t="s">
        <v>99</v>
      </c>
      <c r="Y32" s="20" t="s">
        <v>92</v>
      </c>
      <c r="Z32" s="20" t="s">
        <v>92</v>
      </c>
      <c r="AA32" s="20" t="s">
        <v>92</v>
      </c>
      <c r="AB32" s="20" t="s">
        <v>92</v>
      </c>
      <c r="AC32" s="20" t="s">
        <v>92</v>
      </c>
      <c r="AD32" s="20" t="s">
        <v>96</v>
      </c>
      <c r="AE32" s="20" t="s">
        <v>106</v>
      </c>
      <c r="AF32" s="21"/>
    </row>
    <row r="33" customFormat="false" ht="13.5" hidden="false" customHeight="false" outlineLevel="0" collapsed="false">
      <c r="A33" s="2" t="s">
        <v>91</v>
      </c>
      <c r="B33" s="2" t="n">
        <v>29</v>
      </c>
      <c r="C33" s="17" t="n">
        <v>147000</v>
      </c>
      <c r="D33" s="17" t="n">
        <v>549000</v>
      </c>
      <c r="E33" s="17" t="n">
        <v>147000</v>
      </c>
      <c r="F33" s="17" t="n">
        <v>549000</v>
      </c>
      <c r="G33" s="18" t="n">
        <v>45960</v>
      </c>
      <c r="H33" s="19" t="n">
        <v>4.58</v>
      </c>
      <c r="I33" s="19" t="n">
        <v>1.4</v>
      </c>
      <c r="J33" s="19" t="n">
        <v>0.8</v>
      </c>
      <c r="K33" s="20" t="n">
        <v>0</v>
      </c>
      <c r="L33" s="20" t="s">
        <v>92</v>
      </c>
      <c r="M33" s="20" t="s">
        <v>92</v>
      </c>
      <c r="N33" s="20" t="s">
        <v>92</v>
      </c>
      <c r="O33" s="20" t="s">
        <v>93</v>
      </c>
      <c r="P33" s="20" t="s">
        <v>93</v>
      </c>
      <c r="Q33" s="20" t="s">
        <v>93</v>
      </c>
      <c r="R33" s="20" t="s">
        <v>93</v>
      </c>
      <c r="S33" s="20" t="s">
        <v>93</v>
      </c>
      <c r="T33" s="20" t="s">
        <v>94</v>
      </c>
      <c r="U33" s="20" t="s">
        <v>94</v>
      </c>
      <c r="V33" s="20" t="s">
        <v>94</v>
      </c>
      <c r="W33" s="20" t="s">
        <v>94</v>
      </c>
      <c r="X33" s="20" t="s">
        <v>94</v>
      </c>
      <c r="Y33" s="20" t="s">
        <v>92</v>
      </c>
      <c r="Z33" s="20" t="s">
        <v>92</v>
      </c>
      <c r="AA33" s="20" t="s">
        <v>93</v>
      </c>
      <c r="AB33" s="20" t="s">
        <v>92</v>
      </c>
      <c r="AC33" s="20" t="s">
        <v>95</v>
      </c>
      <c r="AD33" s="20" t="s">
        <v>96</v>
      </c>
      <c r="AE33" s="20" t="s">
        <v>97</v>
      </c>
      <c r="AF33" s="21" t="s">
        <v>113</v>
      </c>
    </row>
    <row r="34" customFormat="false" ht="13.5" hidden="false" customHeight="false" outlineLevel="0" collapsed="false">
      <c r="A34" s="2" t="s">
        <v>91</v>
      </c>
      <c r="B34" s="2" t="n">
        <v>30</v>
      </c>
      <c r="C34" s="17" t="n">
        <v>151000</v>
      </c>
      <c r="D34" s="17" t="n">
        <v>549000</v>
      </c>
      <c r="E34" s="17" t="n">
        <v>150998.79</v>
      </c>
      <c r="F34" s="17" t="n">
        <v>549006.028</v>
      </c>
      <c r="G34" s="18" t="n">
        <v>45952.5662384259</v>
      </c>
      <c r="H34" s="19" t="n">
        <v>4.66</v>
      </c>
      <c r="I34" s="19" t="s">
        <v>92</v>
      </c>
      <c r="J34" s="19" t="s">
        <v>92</v>
      </c>
      <c r="K34" s="20" t="n">
        <v>0</v>
      </c>
      <c r="L34" s="20" t="s">
        <v>92</v>
      </c>
      <c r="M34" s="20" t="s">
        <v>92</v>
      </c>
      <c r="N34" s="20" t="s">
        <v>92</v>
      </c>
      <c r="O34" s="20" t="s">
        <v>93</v>
      </c>
      <c r="P34" s="20" t="s">
        <v>93</v>
      </c>
      <c r="Q34" s="20" t="s">
        <v>93</v>
      </c>
      <c r="R34" s="20" t="s">
        <v>93</v>
      </c>
      <c r="S34" s="20" t="s">
        <v>93</v>
      </c>
      <c r="T34" s="20" t="s">
        <v>94</v>
      </c>
      <c r="U34" s="20" t="s">
        <v>94</v>
      </c>
      <c r="V34" s="20" t="s">
        <v>94</v>
      </c>
      <c r="W34" s="20" t="s">
        <v>94</v>
      </c>
      <c r="X34" s="20" t="s">
        <v>94</v>
      </c>
      <c r="Y34" s="20" t="s">
        <v>92</v>
      </c>
      <c r="Z34" s="20" t="s">
        <v>92</v>
      </c>
      <c r="AA34" s="20" t="s">
        <v>92</v>
      </c>
      <c r="AB34" s="20" t="s">
        <v>92</v>
      </c>
      <c r="AC34" s="20" t="s">
        <v>92</v>
      </c>
      <c r="AD34" s="20" t="s">
        <v>96</v>
      </c>
      <c r="AE34" s="20" t="s">
        <v>111</v>
      </c>
      <c r="AF34" s="21"/>
    </row>
    <row r="35" customFormat="false" ht="13.5" hidden="false" customHeight="false" outlineLevel="0" collapsed="false">
      <c r="A35" s="2" t="s">
        <v>91</v>
      </c>
      <c r="B35" s="2" t="n">
        <v>31</v>
      </c>
      <c r="C35" s="17" t="n">
        <v>155000</v>
      </c>
      <c r="D35" s="17" t="n">
        <v>549000</v>
      </c>
      <c r="E35" s="17" t="n">
        <v>154977.853</v>
      </c>
      <c r="F35" s="17" t="n">
        <v>548991.702</v>
      </c>
      <c r="G35" s="18" t="n">
        <v>45952.5986111111</v>
      </c>
      <c r="H35" s="19" t="n">
        <v>2.86</v>
      </c>
      <c r="I35" s="19" t="s">
        <v>92</v>
      </c>
      <c r="J35" s="19" t="s">
        <v>92</v>
      </c>
      <c r="K35" s="20" t="n">
        <v>0</v>
      </c>
      <c r="L35" s="20" t="s">
        <v>92</v>
      </c>
      <c r="M35" s="20" t="s">
        <v>92</v>
      </c>
      <c r="N35" s="20" t="s">
        <v>92</v>
      </c>
      <c r="O35" s="20" t="s">
        <v>93</v>
      </c>
      <c r="P35" s="20" t="s">
        <v>93</v>
      </c>
      <c r="Q35" s="20" t="s">
        <v>93</v>
      </c>
      <c r="R35" s="20" t="s">
        <v>93</v>
      </c>
      <c r="S35" s="20" t="s">
        <v>93</v>
      </c>
      <c r="T35" s="20" t="s">
        <v>105</v>
      </c>
      <c r="U35" s="20" t="s">
        <v>105</v>
      </c>
      <c r="V35" s="20" t="s">
        <v>105</v>
      </c>
      <c r="W35" s="20" t="s">
        <v>105</v>
      </c>
      <c r="X35" s="20" t="s">
        <v>105</v>
      </c>
      <c r="Y35" s="20" t="s">
        <v>92</v>
      </c>
      <c r="Z35" s="20" t="s">
        <v>92</v>
      </c>
      <c r="AA35" s="20" t="s">
        <v>92</v>
      </c>
      <c r="AB35" s="20" t="s">
        <v>92</v>
      </c>
      <c r="AC35" s="20" t="s">
        <v>92</v>
      </c>
      <c r="AD35" s="20" t="s">
        <v>96</v>
      </c>
      <c r="AE35" s="20" t="s">
        <v>111</v>
      </c>
      <c r="AF35" s="21"/>
    </row>
    <row r="36" customFormat="false" ht="13.5" hidden="false" customHeight="false" outlineLevel="0" collapsed="false">
      <c r="A36" s="2" t="s">
        <v>91</v>
      </c>
      <c r="B36" s="2" t="n">
        <v>32</v>
      </c>
      <c r="C36" s="17" t="n">
        <v>133200</v>
      </c>
      <c r="D36" s="17" t="n">
        <v>547000</v>
      </c>
      <c r="E36" s="17" t="n">
        <v>133193.341</v>
      </c>
      <c r="F36" s="17" t="n">
        <v>546990.506</v>
      </c>
      <c r="G36" s="18" t="n">
        <v>45951.5769791667</v>
      </c>
      <c r="H36" s="19" t="n">
        <v>3.6</v>
      </c>
      <c r="I36" s="19" t="s">
        <v>92</v>
      </c>
      <c r="J36" s="19" t="s">
        <v>92</v>
      </c>
      <c r="K36" s="20" t="n">
        <v>0</v>
      </c>
      <c r="L36" s="20" t="s">
        <v>92</v>
      </c>
      <c r="M36" s="20" t="s">
        <v>92</v>
      </c>
      <c r="N36" s="20" t="s">
        <v>92</v>
      </c>
      <c r="O36" s="20" t="s">
        <v>114</v>
      </c>
      <c r="P36" s="20" t="s">
        <v>115</v>
      </c>
      <c r="Q36" s="20" t="s">
        <v>98</v>
      </c>
      <c r="R36" s="20" t="s">
        <v>98</v>
      </c>
      <c r="S36" s="20" t="s">
        <v>115</v>
      </c>
      <c r="T36" s="20" t="s">
        <v>102</v>
      </c>
      <c r="U36" s="20" t="s">
        <v>116</v>
      </c>
      <c r="V36" s="20" t="s">
        <v>100</v>
      </c>
      <c r="W36" s="20" t="s">
        <v>100</v>
      </c>
      <c r="X36" s="20" t="s">
        <v>116</v>
      </c>
      <c r="Y36" s="20" t="s">
        <v>92</v>
      </c>
      <c r="Z36" s="20" t="s">
        <v>92</v>
      </c>
      <c r="AA36" s="20" t="s">
        <v>92</v>
      </c>
      <c r="AB36" s="20" t="s">
        <v>92</v>
      </c>
      <c r="AC36" s="20" t="s">
        <v>92</v>
      </c>
      <c r="AD36" s="20" t="s">
        <v>96</v>
      </c>
      <c r="AE36" s="20" t="s">
        <v>106</v>
      </c>
      <c r="AF36" s="21"/>
    </row>
    <row r="37" customFormat="false" ht="13.5" hidden="false" customHeight="false" outlineLevel="0" collapsed="false">
      <c r="A37" s="2" t="s">
        <v>91</v>
      </c>
      <c r="B37" s="2" t="n">
        <v>33</v>
      </c>
      <c r="C37" s="17" t="n">
        <v>137000</v>
      </c>
      <c r="D37" s="17" t="n">
        <v>547000</v>
      </c>
      <c r="E37" s="17" t="n">
        <v>136992.175</v>
      </c>
      <c r="F37" s="17" t="n">
        <v>546996.308</v>
      </c>
      <c r="G37" s="18" t="n">
        <v>45951.4661458333</v>
      </c>
      <c r="H37" s="19" t="n">
        <v>3.26</v>
      </c>
      <c r="I37" s="19" t="n">
        <v>2</v>
      </c>
      <c r="J37" s="19" t="n">
        <v>2</v>
      </c>
      <c r="K37" s="20" t="n">
        <v>0</v>
      </c>
      <c r="L37" s="20" t="s">
        <v>92</v>
      </c>
      <c r="M37" s="20" t="s">
        <v>92</v>
      </c>
      <c r="N37" s="20" t="s">
        <v>92</v>
      </c>
      <c r="O37" s="20" t="s">
        <v>93</v>
      </c>
      <c r="P37" s="20" t="s">
        <v>93</v>
      </c>
      <c r="Q37" s="20" t="s">
        <v>93</v>
      </c>
      <c r="R37" s="20" t="s">
        <v>93</v>
      </c>
      <c r="S37" s="20" t="s">
        <v>93</v>
      </c>
      <c r="T37" s="20" t="s">
        <v>94</v>
      </c>
      <c r="U37" s="20" t="s">
        <v>94</v>
      </c>
      <c r="V37" s="20" t="s">
        <v>94</v>
      </c>
      <c r="W37" s="20" t="s">
        <v>94</v>
      </c>
      <c r="X37" s="20" t="s">
        <v>94</v>
      </c>
      <c r="Y37" s="20" t="s">
        <v>117</v>
      </c>
      <c r="Z37" s="20" t="s">
        <v>95</v>
      </c>
      <c r="AA37" s="20" t="s">
        <v>92</v>
      </c>
      <c r="AB37" s="20" t="s">
        <v>117</v>
      </c>
      <c r="AC37" s="20" t="s">
        <v>95</v>
      </c>
      <c r="AD37" s="20" t="s">
        <v>96</v>
      </c>
      <c r="AE37" s="20" t="s">
        <v>106</v>
      </c>
      <c r="AF37" s="21"/>
    </row>
    <row r="38" customFormat="false" ht="13.5" hidden="false" customHeight="false" outlineLevel="0" collapsed="false">
      <c r="A38" s="2" t="s">
        <v>91</v>
      </c>
      <c r="B38" s="2" t="n">
        <v>34</v>
      </c>
      <c r="C38" s="17" t="n">
        <v>141000</v>
      </c>
      <c r="D38" s="17" t="n">
        <v>547000</v>
      </c>
      <c r="E38" s="17" t="n">
        <v>140990.894</v>
      </c>
      <c r="F38" s="17" t="n">
        <v>546995.488</v>
      </c>
      <c r="G38" s="18" t="n">
        <v>45951.4324305556</v>
      </c>
      <c r="H38" s="19" t="n">
        <v>5.2</v>
      </c>
      <c r="I38" s="19" t="n">
        <v>1.2</v>
      </c>
      <c r="J38" s="19" t="n">
        <v>116</v>
      </c>
      <c r="K38" s="20" t="n">
        <v>0</v>
      </c>
      <c r="L38" s="20" t="s">
        <v>92</v>
      </c>
      <c r="M38" s="20" t="s">
        <v>92</v>
      </c>
      <c r="N38" s="20" t="s">
        <v>92</v>
      </c>
      <c r="O38" s="20" t="s">
        <v>93</v>
      </c>
      <c r="P38" s="20" t="s">
        <v>93</v>
      </c>
      <c r="Q38" s="20" t="s">
        <v>93</v>
      </c>
      <c r="R38" s="20" t="s">
        <v>93</v>
      </c>
      <c r="S38" s="20" t="s">
        <v>93</v>
      </c>
      <c r="T38" s="20" t="s">
        <v>99</v>
      </c>
      <c r="U38" s="20" t="s">
        <v>99</v>
      </c>
      <c r="V38" s="20" t="s">
        <v>99</v>
      </c>
      <c r="W38" s="20" t="s">
        <v>99</v>
      </c>
      <c r="X38" s="20" t="s">
        <v>99</v>
      </c>
      <c r="Y38" s="20" t="s">
        <v>95</v>
      </c>
      <c r="Z38" s="20" t="s">
        <v>95</v>
      </c>
      <c r="AA38" s="20" t="s">
        <v>95</v>
      </c>
      <c r="AB38" s="20" t="s">
        <v>95</v>
      </c>
      <c r="AC38" s="20" t="s">
        <v>95</v>
      </c>
      <c r="AD38" s="20" t="s">
        <v>109</v>
      </c>
      <c r="AE38" s="20" t="s">
        <v>106</v>
      </c>
      <c r="AF38" s="21"/>
    </row>
    <row r="39" customFormat="false" ht="13.5" hidden="false" customHeight="false" outlineLevel="0" collapsed="false">
      <c r="A39" s="2" t="s">
        <v>91</v>
      </c>
      <c r="B39" s="2" t="n">
        <v>35</v>
      </c>
      <c r="C39" s="17" t="n">
        <v>145000</v>
      </c>
      <c r="D39" s="17" t="n">
        <v>547000</v>
      </c>
      <c r="E39" s="17" t="n">
        <v>145007.369</v>
      </c>
      <c r="F39" s="17" t="n">
        <v>547002.152</v>
      </c>
      <c r="G39" s="18" t="n">
        <v>45951.3992592593</v>
      </c>
      <c r="H39" s="19" t="n">
        <v>5.2</v>
      </c>
      <c r="I39" s="19" t="n">
        <v>8.5</v>
      </c>
      <c r="J39" s="19" t="n">
        <v>272</v>
      </c>
      <c r="K39" s="20" t="n">
        <v>0</v>
      </c>
      <c r="L39" s="20" t="s">
        <v>92</v>
      </c>
      <c r="M39" s="20" t="s">
        <v>92</v>
      </c>
      <c r="N39" s="20" t="s">
        <v>92</v>
      </c>
      <c r="O39" s="20" t="s">
        <v>110</v>
      </c>
      <c r="P39" s="20" t="s">
        <v>110</v>
      </c>
      <c r="Q39" s="20" t="s">
        <v>110</v>
      </c>
      <c r="R39" s="20" t="s">
        <v>110</v>
      </c>
      <c r="S39" s="20" t="s">
        <v>110</v>
      </c>
      <c r="T39" s="20" t="s">
        <v>94</v>
      </c>
      <c r="U39" s="20" t="s">
        <v>94</v>
      </c>
      <c r="V39" s="20" t="s">
        <v>94</v>
      </c>
      <c r="W39" s="20" t="s">
        <v>94</v>
      </c>
      <c r="X39" s="20" t="s">
        <v>94</v>
      </c>
      <c r="Y39" s="20" t="s">
        <v>95</v>
      </c>
      <c r="Z39" s="20" t="s">
        <v>95</v>
      </c>
      <c r="AA39" s="20" t="s">
        <v>95</v>
      </c>
      <c r="AB39" s="20" t="s">
        <v>95</v>
      </c>
      <c r="AC39" s="20" t="s">
        <v>95</v>
      </c>
      <c r="AD39" s="20" t="s">
        <v>109</v>
      </c>
      <c r="AE39" s="20" t="s">
        <v>106</v>
      </c>
      <c r="AF39" s="21"/>
    </row>
    <row r="40" customFormat="false" ht="13.5" hidden="false" customHeight="false" outlineLevel="0" collapsed="false">
      <c r="A40" s="2" t="s">
        <v>91</v>
      </c>
      <c r="B40" s="2" t="n">
        <v>36</v>
      </c>
      <c r="C40" s="17" t="n">
        <v>149000</v>
      </c>
      <c r="D40" s="17" t="n">
        <v>547000</v>
      </c>
      <c r="E40" s="17" t="n">
        <v>149003.687</v>
      </c>
      <c r="F40" s="17" t="n">
        <v>546996.918</v>
      </c>
      <c r="G40" s="18" t="n">
        <v>45952.5498726852</v>
      </c>
      <c r="H40" s="19" t="n">
        <v>4.8</v>
      </c>
      <c r="I40" s="19" t="n">
        <v>0.3</v>
      </c>
      <c r="J40" s="19" t="s">
        <v>92</v>
      </c>
      <c r="K40" s="20" t="n">
        <v>0</v>
      </c>
      <c r="L40" s="20" t="s">
        <v>92</v>
      </c>
      <c r="M40" s="20" t="s">
        <v>92</v>
      </c>
      <c r="N40" s="20" t="s">
        <v>92</v>
      </c>
      <c r="O40" s="20" t="s">
        <v>93</v>
      </c>
      <c r="P40" s="20" t="s">
        <v>93</v>
      </c>
      <c r="Q40" s="20" t="s">
        <v>93</v>
      </c>
      <c r="R40" s="20" t="s">
        <v>93</v>
      </c>
      <c r="S40" s="20" t="s">
        <v>93</v>
      </c>
      <c r="T40" s="20" t="s">
        <v>94</v>
      </c>
      <c r="U40" s="20" t="s">
        <v>94</v>
      </c>
      <c r="V40" s="20" t="s">
        <v>94</v>
      </c>
      <c r="W40" s="20" t="s">
        <v>94</v>
      </c>
      <c r="X40" s="20" t="s">
        <v>94</v>
      </c>
      <c r="Y40" s="20" t="s">
        <v>95</v>
      </c>
      <c r="Z40" s="20" t="s">
        <v>92</v>
      </c>
      <c r="AA40" s="20" t="s">
        <v>93</v>
      </c>
      <c r="AB40" s="20" t="s">
        <v>92</v>
      </c>
      <c r="AC40" s="20" t="s">
        <v>93</v>
      </c>
      <c r="AD40" s="20" t="s">
        <v>96</v>
      </c>
      <c r="AE40" s="20" t="s">
        <v>111</v>
      </c>
      <c r="AF40" s="21"/>
    </row>
    <row r="41" customFormat="false" ht="13.5" hidden="false" customHeight="false" outlineLevel="0" collapsed="false">
      <c r="A41" s="2" t="s">
        <v>91</v>
      </c>
      <c r="B41" s="2" t="n">
        <v>37</v>
      </c>
      <c r="C41" s="17" t="n">
        <v>153000</v>
      </c>
      <c r="D41" s="17" t="n">
        <v>547000</v>
      </c>
      <c r="E41" s="17" t="n">
        <v>153001.413</v>
      </c>
      <c r="F41" s="17" t="n">
        <v>546980.06</v>
      </c>
      <c r="G41" s="18" t="n">
        <v>45952.6159490741</v>
      </c>
      <c r="H41" s="19" t="n">
        <v>4.16</v>
      </c>
      <c r="I41" s="19" t="s">
        <v>92</v>
      </c>
      <c r="J41" s="19" t="s">
        <v>92</v>
      </c>
      <c r="K41" s="20" t="n">
        <v>0</v>
      </c>
      <c r="L41" s="20" t="s">
        <v>92</v>
      </c>
      <c r="M41" s="20" t="s">
        <v>92</v>
      </c>
      <c r="N41" s="20" t="s">
        <v>92</v>
      </c>
      <c r="O41" s="20" t="s">
        <v>93</v>
      </c>
      <c r="P41" s="20" t="s">
        <v>93</v>
      </c>
      <c r="Q41" s="20" t="s">
        <v>93</v>
      </c>
      <c r="R41" s="20" t="s">
        <v>93</v>
      </c>
      <c r="S41" s="20" t="s">
        <v>93</v>
      </c>
      <c r="T41" s="20" t="s">
        <v>105</v>
      </c>
      <c r="U41" s="20" t="s">
        <v>105</v>
      </c>
      <c r="V41" s="20" t="s">
        <v>105</v>
      </c>
      <c r="W41" s="20" t="s">
        <v>105</v>
      </c>
      <c r="X41" s="20" t="s">
        <v>105</v>
      </c>
      <c r="Y41" s="20" t="s">
        <v>92</v>
      </c>
      <c r="Z41" s="20" t="s">
        <v>92</v>
      </c>
      <c r="AA41" s="20" t="s">
        <v>92</v>
      </c>
      <c r="AB41" s="20" t="s">
        <v>92</v>
      </c>
      <c r="AC41" s="20" t="s">
        <v>92</v>
      </c>
      <c r="AD41" s="20" t="s">
        <v>96</v>
      </c>
      <c r="AE41" s="20" t="s">
        <v>111</v>
      </c>
      <c r="AF41" s="21"/>
    </row>
    <row r="42" customFormat="false" ht="13.5" hidden="false" customHeight="false" outlineLevel="0" collapsed="false">
      <c r="A42" s="2" t="s">
        <v>91</v>
      </c>
      <c r="B42" s="2" t="n">
        <v>38</v>
      </c>
      <c r="C42" s="17" t="n">
        <v>135000</v>
      </c>
      <c r="D42" s="17" t="n">
        <v>545000</v>
      </c>
      <c r="E42" s="17" t="n">
        <v>135001.556</v>
      </c>
      <c r="F42" s="17" t="n">
        <v>544994.593</v>
      </c>
      <c r="G42" s="18" t="n">
        <v>45951.593587963</v>
      </c>
      <c r="H42" s="19" t="n">
        <v>2.48</v>
      </c>
      <c r="I42" s="19" t="n">
        <v>2.3</v>
      </c>
      <c r="J42" s="19" t="n">
        <v>0.05</v>
      </c>
      <c r="K42" s="20" t="n">
        <v>0</v>
      </c>
      <c r="L42" s="20" t="n">
        <v>21.5</v>
      </c>
      <c r="M42" s="20" t="n">
        <f aca="false">18+35</f>
        <v>53</v>
      </c>
      <c r="N42" s="20" t="s">
        <v>92</v>
      </c>
      <c r="O42" s="20" t="s">
        <v>93</v>
      </c>
      <c r="P42" s="20" t="s">
        <v>93</v>
      </c>
      <c r="Q42" s="20" t="s">
        <v>93</v>
      </c>
      <c r="R42" s="20" t="s">
        <v>93</v>
      </c>
      <c r="S42" s="20" t="s">
        <v>93</v>
      </c>
      <c r="T42" s="20" t="s">
        <v>94</v>
      </c>
      <c r="U42" s="20" t="s">
        <v>94</v>
      </c>
      <c r="V42" s="20" t="s">
        <v>94</v>
      </c>
      <c r="W42" s="20" t="s">
        <v>94</v>
      </c>
      <c r="X42" s="20" t="s">
        <v>94</v>
      </c>
      <c r="Y42" s="20" t="s">
        <v>112</v>
      </c>
      <c r="Z42" s="20" t="s">
        <v>92</v>
      </c>
      <c r="AA42" s="20" t="s">
        <v>92</v>
      </c>
      <c r="AB42" s="20" t="s">
        <v>92</v>
      </c>
      <c r="AC42" s="20" t="s">
        <v>92</v>
      </c>
      <c r="AD42" s="20" t="s">
        <v>96</v>
      </c>
      <c r="AE42" s="20" t="s">
        <v>106</v>
      </c>
      <c r="AF42" s="21"/>
    </row>
    <row r="43" customFormat="false" ht="13.5" hidden="false" customHeight="false" outlineLevel="0" collapsed="false">
      <c r="A43" s="2" t="s">
        <v>91</v>
      </c>
      <c r="B43" s="2" t="n">
        <v>39</v>
      </c>
      <c r="C43" s="17" t="n">
        <v>139000</v>
      </c>
      <c r="D43" s="17" t="n">
        <v>545000</v>
      </c>
      <c r="E43" s="17" t="n">
        <v>139004.17</v>
      </c>
      <c r="F43" s="17" t="n">
        <v>544997.692</v>
      </c>
      <c r="G43" s="18" t="n">
        <v>45951.4503472222</v>
      </c>
      <c r="H43" s="19" t="n">
        <v>4.12</v>
      </c>
      <c r="I43" s="19" t="n">
        <v>4</v>
      </c>
      <c r="J43" s="19" t="n">
        <v>180</v>
      </c>
      <c r="K43" s="20" t="n">
        <v>0</v>
      </c>
      <c r="L43" s="20" t="s">
        <v>92</v>
      </c>
      <c r="M43" s="20" t="s">
        <v>92</v>
      </c>
      <c r="N43" s="20" t="s">
        <v>92</v>
      </c>
      <c r="O43" s="20" t="s">
        <v>93</v>
      </c>
      <c r="P43" s="20" t="s">
        <v>93</v>
      </c>
      <c r="Q43" s="20" t="s">
        <v>93</v>
      </c>
      <c r="R43" s="20" t="s">
        <v>93</v>
      </c>
      <c r="S43" s="20" t="s">
        <v>93</v>
      </c>
      <c r="T43" s="20" t="s">
        <v>99</v>
      </c>
      <c r="U43" s="20" t="s">
        <v>99</v>
      </c>
      <c r="V43" s="20" t="s">
        <v>99</v>
      </c>
      <c r="W43" s="20" t="s">
        <v>99</v>
      </c>
      <c r="X43" s="20" t="s">
        <v>99</v>
      </c>
      <c r="Y43" s="20" t="s">
        <v>95</v>
      </c>
      <c r="Z43" s="20" t="s">
        <v>117</v>
      </c>
      <c r="AA43" s="20" t="s">
        <v>95</v>
      </c>
      <c r="AB43" s="20" t="s">
        <v>95</v>
      </c>
      <c r="AC43" s="20" t="s">
        <v>95</v>
      </c>
      <c r="AD43" s="20" t="s">
        <v>109</v>
      </c>
      <c r="AE43" s="20" t="s">
        <v>106</v>
      </c>
      <c r="AF43" s="21"/>
    </row>
    <row r="44" customFormat="false" ht="13.5" hidden="false" customHeight="false" outlineLevel="0" collapsed="false">
      <c r="A44" s="2" t="s">
        <v>91</v>
      </c>
      <c r="B44" s="2" t="n">
        <v>40</v>
      </c>
      <c r="C44" s="17" t="n">
        <v>143000</v>
      </c>
      <c r="D44" s="17" t="n">
        <v>545000</v>
      </c>
      <c r="E44" s="17" t="n">
        <v>143011.823</v>
      </c>
      <c r="F44" s="17" t="n">
        <v>545009.529</v>
      </c>
      <c r="G44" s="18" t="n">
        <v>45951.3840162037</v>
      </c>
      <c r="H44" s="19" t="n">
        <v>4.84</v>
      </c>
      <c r="I44" s="19" t="n">
        <v>0.6</v>
      </c>
      <c r="J44" s="19" t="n">
        <v>1.1</v>
      </c>
      <c r="K44" s="20" t="n">
        <v>0</v>
      </c>
      <c r="L44" s="20" t="s">
        <v>92</v>
      </c>
      <c r="M44" s="20" t="s">
        <v>92</v>
      </c>
      <c r="N44" s="20" t="s">
        <v>92</v>
      </c>
      <c r="O44" s="20" t="s">
        <v>93</v>
      </c>
      <c r="P44" s="20" t="s">
        <v>93</v>
      </c>
      <c r="Q44" s="20" t="s">
        <v>93</v>
      </c>
      <c r="R44" s="20" t="s">
        <v>93</v>
      </c>
      <c r="S44" s="20" t="s">
        <v>93</v>
      </c>
      <c r="T44" s="20" t="s">
        <v>94</v>
      </c>
      <c r="U44" s="20" t="s">
        <v>94</v>
      </c>
      <c r="V44" s="20" t="s">
        <v>94</v>
      </c>
      <c r="W44" s="20" t="s">
        <v>94</v>
      </c>
      <c r="X44" s="20" t="s">
        <v>94</v>
      </c>
      <c r="Y44" s="20" t="s">
        <v>95</v>
      </c>
      <c r="Z44" s="20" t="s">
        <v>92</v>
      </c>
      <c r="AA44" s="20" t="s">
        <v>95</v>
      </c>
      <c r="AB44" s="20" t="s">
        <v>92</v>
      </c>
      <c r="AC44" s="20" t="s">
        <v>95</v>
      </c>
      <c r="AD44" s="20" t="s">
        <v>96</v>
      </c>
      <c r="AE44" s="20" t="s">
        <v>106</v>
      </c>
      <c r="AF44" s="21"/>
    </row>
    <row r="45" customFormat="false" ht="13.5" hidden="false" customHeight="false" outlineLevel="0" collapsed="false">
      <c r="A45" s="2" t="s">
        <v>91</v>
      </c>
      <c r="B45" s="2" t="n">
        <v>41</v>
      </c>
      <c r="C45" s="17" t="n">
        <v>147000</v>
      </c>
      <c r="D45" s="17" t="n">
        <v>545000</v>
      </c>
      <c r="E45" s="17" t="n">
        <v>147011.34</v>
      </c>
      <c r="F45" s="17" t="n">
        <v>545007.77</v>
      </c>
      <c r="G45" s="18" t="n">
        <v>45952.5283680556</v>
      </c>
      <c r="H45" s="19" t="n">
        <v>4.9</v>
      </c>
      <c r="I45" s="19" t="n">
        <v>1.6</v>
      </c>
      <c r="J45" s="19" t="s">
        <v>92</v>
      </c>
      <c r="K45" s="20" t="n">
        <v>0</v>
      </c>
      <c r="L45" s="20" t="s">
        <v>92</v>
      </c>
      <c r="M45" s="20" t="s">
        <v>92</v>
      </c>
      <c r="N45" s="20" t="s">
        <v>92</v>
      </c>
      <c r="O45" s="20" t="s">
        <v>93</v>
      </c>
      <c r="P45" s="20" t="s">
        <v>93</v>
      </c>
      <c r="Q45" s="20" t="s">
        <v>93</v>
      </c>
      <c r="R45" s="20" t="s">
        <v>93</v>
      </c>
      <c r="S45" s="20" t="s">
        <v>93</v>
      </c>
      <c r="T45" s="20" t="s">
        <v>99</v>
      </c>
      <c r="U45" s="20" t="s">
        <v>99</v>
      </c>
      <c r="V45" s="20" t="s">
        <v>99</v>
      </c>
      <c r="W45" s="20" t="s">
        <v>99</v>
      </c>
      <c r="X45" s="20" t="s">
        <v>99</v>
      </c>
      <c r="Y45" s="20" t="s">
        <v>92</v>
      </c>
      <c r="Z45" s="20" t="s">
        <v>93</v>
      </c>
      <c r="AA45" s="20" t="s">
        <v>95</v>
      </c>
      <c r="AB45" s="20" t="s">
        <v>95</v>
      </c>
      <c r="AC45" s="20" t="s">
        <v>93</v>
      </c>
      <c r="AD45" s="20" t="s">
        <v>96</v>
      </c>
      <c r="AE45" s="20" t="s">
        <v>111</v>
      </c>
      <c r="AF45" s="21"/>
    </row>
    <row r="46" customFormat="false" ht="13.5" hidden="false" customHeight="false" outlineLevel="0" collapsed="false">
      <c r="A46" s="2" t="s">
        <v>91</v>
      </c>
      <c r="B46" s="2" t="n">
        <v>42</v>
      </c>
      <c r="C46" s="17" t="n">
        <v>151000</v>
      </c>
      <c r="D46" s="17" t="n">
        <v>545000</v>
      </c>
      <c r="E46" s="17" t="n">
        <v>151007.952</v>
      </c>
      <c r="F46" s="17" t="n">
        <v>545004.855</v>
      </c>
      <c r="G46" s="18" t="n">
        <v>45952.6309375</v>
      </c>
      <c r="H46" s="19" t="n">
        <v>4.68</v>
      </c>
      <c r="I46" s="19" t="n">
        <v>0.8</v>
      </c>
      <c r="J46" s="19" t="n">
        <v>3</v>
      </c>
      <c r="K46" s="20" t="n">
        <v>0</v>
      </c>
      <c r="L46" s="20" t="s">
        <v>92</v>
      </c>
      <c r="M46" s="20" t="s">
        <v>92</v>
      </c>
      <c r="N46" s="20" t="s">
        <v>92</v>
      </c>
      <c r="O46" s="20" t="s">
        <v>93</v>
      </c>
      <c r="P46" s="20" t="s">
        <v>93</v>
      </c>
      <c r="Q46" s="20" t="s">
        <v>93</v>
      </c>
      <c r="R46" s="20" t="s">
        <v>93</v>
      </c>
      <c r="S46" s="20" t="s">
        <v>93</v>
      </c>
      <c r="T46" s="20" t="s">
        <v>105</v>
      </c>
      <c r="U46" s="20" t="s">
        <v>105</v>
      </c>
      <c r="V46" s="20" t="s">
        <v>105</v>
      </c>
      <c r="W46" s="20" t="s">
        <v>105</v>
      </c>
      <c r="X46" s="20" t="s">
        <v>105</v>
      </c>
      <c r="Y46" s="20" t="s">
        <v>117</v>
      </c>
      <c r="Z46" s="20" t="s">
        <v>95</v>
      </c>
      <c r="AA46" s="20" t="s">
        <v>95</v>
      </c>
      <c r="AB46" s="20" t="s">
        <v>95</v>
      </c>
      <c r="AC46" s="20" t="s">
        <v>95</v>
      </c>
      <c r="AD46" s="20" t="s">
        <v>96</v>
      </c>
      <c r="AE46" s="20" t="s">
        <v>111</v>
      </c>
      <c r="AF46" s="21"/>
    </row>
    <row r="47" customFormat="false" ht="13.5" hidden="false" customHeight="false" outlineLevel="0" collapsed="false">
      <c r="A47" s="2" t="s">
        <v>91</v>
      </c>
      <c r="B47" s="2" t="n">
        <v>43</v>
      </c>
      <c r="C47" s="17" t="n">
        <v>137000</v>
      </c>
      <c r="D47" s="17" t="n">
        <v>543000</v>
      </c>
      <c r="E47" s="17" t="n">
        <v>136978.932</v>
      </c>
      <c r="F47" s="17" t="n">
        <v>543004.638</v>
      </c>
      <c r="G47" s="18" t="n">
        <v>45951.6116319444</v>
      </c>
      <c r="H47" s="19" t="n">
        <v>3.1</v>
      </c>
      <c r="I47" s="19" t="n">
        <v>4</v>
      </c>
      <c r="J47" s="19" t="n">
        <v>1.2</v>
      </c>
      <c r="K47" s="20" t="n">
        <v>0</v>
      </c>
      <c r="L47" s="20" t="n">
        <v>15</v>
      </c>
      <c r="M47" s="20" t="n">
        <v>42</v>
      </c>
      <c r="N47" s="20" t="s">
        <v>92</v>
      </c>
      <c r="O47" s="20" t="s">
        <v>93</v>
      </c>
      <c r="P47" s="20" t="s">
        <v>93</v>
      </c>
      <c r="Q47" s="20" t="s">
        <v>93</v>
      </c>
      <c r="R47" s="20" t="s">
        <v>93</v>
      </c>
      <c r="S47" s="20" t="s">
        <v>93</v>
      </c>
      <c r="T47" s="20" t="s">
        <v>94</v>
      </c>
      <c r="U47" s="20" t="s">
        <v>94</v>
      </c>
      <c r="V47" s="20" t="s">
        <v>94</v>
      </c>
      <c r="W47" s="20" t="s">
        <v>94</v>
      </c>
      <c r="X47" s="20" t="s">
        <v>94</v>
      </c>
      <c r="Y47" s="20" t="s">
        <v>118</v>
      </c>
      <c r="Z47" s="20" t="s">
        <v>112</v>
      </c>
      <c r="AA47" s="20" t="s">
        <v>118</v>
      </c>
      <c r="AB47" s="20" t="s">
        <v>95</v>
      </c>
      <c r="AC47" s="20" t="s">
        <v>93</v>
      </c>
      <c r="AD47" s="20" t="s">
        <v>96</v>
      </c>
      <c r="AE47" s="20" t="s">
        <v>106</v>
      </c>
      <c r="AF47" s="21"/>
    </row>
    <row r="48" customFormat="false" ht="13.5" hidden="false" customHeight="false" outlineLevel="0" collapsed="false">
      <c r="A48" s="2" t="s">
        <v>91</v>
      </c>
      <c r="B48" s="2" t="n">
        <v>44</v>
      </c>
      <c r="C48" s="17" t="n">
        <v>141000</v>
      </c>
      <c r="D48" s="17" t="n">
        <v>543000</v>
      </c>
      <c r="E48" s="17" t="n">
        <v>141017.927</v>
      </c>
      <c r="F48" s="17" t="n">
        <v>542989.238</v>
      </c>
      <c r="G48" s="18" t="n">
        <v>45951.367025463</v>
      </c>
      <c r="H48" s="19" t="n">
        <v>5.3</v>
      </c>
      <c r="I48" s="19" t="n">
        <v>0.6</v>
      </c>
      <c r="J48" s="19" t="s">
        <v>92</v>
      </c>
      <c r="K48" s="20" t="n">
        <v>0</v>
      </c>
      <c r="L48" s="20" t="n">
        <v>0.05</v>
      </c>
      <c r="M48" s="20" t="n">
        <v>1</v>
      </c>
      <c r="N48" s="20" t="s">
        <v>92</v>
      </c>
      <c r="O48" s="20" t="s">
        <v>110</v>
      </c>
      <c r="P48" s="20" t="s">
        <v>110</v>
      </c>
      <c r="Q48" s="20" t="s">
        <v>110</v>
      </c>
      <c r="R48" s="20" t="s">
        <v>110</v>
      </c>
      <c r="S48" s="20" t="s">
        <v>110</v>
      </c>
      <c r="T48" s="20" t="s">
        <v>99</v>
      </c>
      <c r="U48" s="20" t="s">
        <v>99</v>
      </c>
      <c r="V48" s="20" t="s">
        <v>94</v>
      </c>
      <c r="W48" s="20" t="s">
        <v>94</v>
      </c>
      <c r="X48" s="20" t="s">
        <v>94</v>
      </c>
      <c r="Y48" s="20" t="s">
        <v>95</v>
      </c>
      <c r="Z48" s="20" t="s">
        <v>95</v>
      </c>
      <c r="AA48" s="20" t="s">
        <v>92</v>
      </c>
      <c r="AB48" s="20" t="s">
        <v>95</v>
      </c>
      <c r="AC48" s="20" t="s">
        <v>95</v>
      </c>
      <c r="AD48" s="20" t="s">
        <v>96</v>
      </c>
      <c r="AE48" s="20" t="s">
        <v>106</v>
      </c>
      <c r="AF48" s="21"/>
    </row>
    <row r="49" customFormat="false" ht="13.5" hidden="false" customHeight="false" outlineLevel="0" collapsed="false">
      <c r="A49" s="2" t="s">
        <v>91</v>
      </c>
      <c r="B49" s="2" t="n">
        <v>45</v>
      </c>
      <c r="C49" s="17" t="n">
        <v>145000</v>
      </c>
      <c r="D49" s="17" t="n">
        <v>543000</v>
      </c>
      <c r="E49" s="17" t="n">
        <v>145001.027</v>
      </c>
      <c r="F49" s="17" t="n">
        <v>542998.897</v>
      </c>
      <c r="G49" s="18" t="n">
        <v>45952.3736342593</v>
      </c>
      <c r="H49" s="19" t="n">
        <v>5.38</v>
      </c>
      <c r="I49" s="19" t="s">
        <v>92</v>
      </c>
      <c r="J49" s="19" t="s">
        <v>92</v>
      </c>
      <c r="K49" s="20" t="n">
        <v>0</v>
      </c>
      <c r="L49" s="20" t="s">
        <v>92</v>
      </c>
      <c r="M49" s="20" t="s">
        <v>92</v>
      </c>
      <c r="N49" s="20" t="s">
        <v>92</v>
      </c>
      <c r="O49" s="20" t="s">
        <v>93</v>
      </c>
      <c r="P49" s="20" t="s">
        <v>93</v>
      </c>
      <c r="Q49" s="20" t="s">
        <v>93</v>
      </c>
      <c r="R49" s="20" t="s">
        <v>93</v>
      </c>
      <c r="S49" s="20" t="s">
        <v>98</v>
      </c>
      <c r="T49" s="20" t="s">
        <v>94</v>
      </c>
      <c r="U49" s="20" t="s">
        <v>94</v>
      </c>
      <c r="V49" s="20" t="s">
        <v>94</v>
      </c>
      <c r="W49" s="20" t="s">
        <v>94</v>
      </c>
      <c r="X49" s="20" t="s">
        <v>100</v>
      </c>
      <c r="Y49" s="20" t="s">
        <v>92</v>
      </c>
      <c r="Z49" s="20" t="s">
        <v>92</v>
      </c>
      <c r="AA49" s="20" t="s">
        <v>92</v>
      </c>
      <c r="AB49" s="20" t="s">
        <v>92</v>
      </c>
      <c r="AC49" s="20" t="s">
        <v>92</v>
      </c>
      <c r="AD49" s="20" t="s">
        <v>96</v>
      </c>
      <c r="AE49" s="20" t="s">
        <v>111</v>
      </c>
      <c r="AF49" s="21"/>
    </row>
    <row r="50" customFormat="false" ht="13.5" hidden="false" customHeight="false" outlineLevel="0" collapsed="false">
      <c r="A50" s="2" t="s">
        <v>91</v>
      </c>
      <c r="B50" s="2" t="n">
        <v>46</v>
      </c>
      <c r="C50" s="17" t="n">
        <v>149000</v>
      </c>
      <c r="D50" s="17" t="n">
        <v>543000</v>
      </c>
      <c r="E50" s="17" t="n">
        <v>149001.341</v>
      </c>
      <c r="F50" s="17" t="n">
        <v>543017.028</v>
      </c>
      <c r="G50" s="18" t="n">
        <v>45952.5109375</v>
      </c>
      <c r="H50" s="19" t="n">
        <v>5.46</v>
      </c>
      <c r="I50" s="19" t="s">
        <v>92</v>
      </c>
      <c r="J50" s="19" t="n">
        <v>0.05</v>
      </c>
      <c r="K50" s="20" t="n">
        <v>0</v>
      </c>
      <c r="L50" s="20" t="s">
        <v>92</v>
      </c>
      <c r="M50" s="20" t="s">
        <v>92</v>
      </c>
      <c r="N50" s="20" t="s">
        <v>92</v>
      </c>
      <c r="O50" s="20" t="s">
        <v>93</v>
      </c>
      <c r="P50" s="20" t="s">
        <v>93</v>
      </c>
      <c r="Q50" s="20" t="s">
        <v>93</v>
      </c>
      <c r="R50" s="20" t="s">
        <v>93</v>
      </c>
      <c r="S50" s="20" t="s">
        <v>101</v>
      </c>
      <c r="T50" s="20" t="s">
        <v>99</v>
      </c>
      <c r="U50" s="20" t="s">
        <v>99</v>
      </c>
      <c r="V50" s="20" t="s">
        <v>99</v>
      </c>
      <c r="W50" s="20" t="s">
        <v>99</v>
      </c>
      <c r="X50" s="20" t="s">
        <v>102</v>
      </c>
      <c r="Y50" s="20" t="s">
        <v>92</v>
      </c>
      <c r="Z50" s="20" t="s">
        <v>92</v>
      </c>
      <c r="AA50" s="20" t="s">
        <v>92</v>
      </c>
      <c r="AB50" s="20" t="s">
        <v>92</v>
      </c>
      <c r="AC50" s="20" t="s">
        <v>92</v>
      </c>
      <c r="AD50" s="20" t="s">
        <v>96</v>
      </c>
      <c r="AE50" s="20" t="s">
        <v>111</v>
      </c>
      <c r="AF50" s="21"/>
    </row>
    <row r="51" customFormat="false" ht="13.5" hidden="false" customHeight="false" outlineLevel="0" collapsed="false">
      <c r="A51" s="2" t="s">
        <v>91</v>
      </c>
      <c r="B51" s="2" t="n">
        <v>47</v>
      </c>
      <c r="C51" s="17" t="n">
        <v>153000</v>
      </c>
      <c r="D51" s="17" t="n">
        <v>543000</v>
      </c>
      <c r="E51" s="17" t="n">
        <v>152988.073</v>
      </c>
      <c r="F51" s="17" t="n">
        <v>543010.303</v>
      </c>
      <c r="G51" s="18" t="n">
        <v>45952.4782986111</v>
      </c>
      <c r="H51" s="19" t="n">
        <v>4.12</v>
      </c>
      <c r="I51" s="19" t="n">
        <v>8</v>
      </c>
      <c r="J51" s="19" t="n">
        <v>25</v>
      </c>
      <c r="K51" s="20" t="n">
        <v>0</v>
      </c>
      <c r="L51" s="20" t="s">
        <v>92</v>
      </c>
      <c r="M51" s="20" t="s">
        <v>92</v>
      </c>
      <c r="N51" s="20" t="s">
        <v>92</v>
      </c>
      <c r="O51" s="20" t="s">
        <v>93</v>
      </c>
      <c r="P51" s="20" t="s">
        <v>93</v>
      </c>
      <c r="Q51" s="20" t="s">
        <v>93</v>
      </c>
      <c r="R51" s="20" t="s">
        <v>93</v>
      </c>
      <c r="S51" s="20" t="s">
        <v>93</v>
      </c>
      <c r="T51" s="20" t="s">
        <v>105</v>
      </c>
      <c r="U51" s="20" t="s">
        <v>105</v>
      </c>
      <c r="V51" s="20" t="s">
        <v>105</v>
      </c>
      <c r="W51" s="20" t="s">
        <v>105</v>
      </c>
      <c r="X51" s="20" t="s">
        <v>105</v>
      </c>
      <c r="Y51" s="20" t="s">
        <v>92</v>
      </c>
      <c r="Z51" s="20" t="s">
        <v>95</v>
      </c>
      <c r="AA51" s="20" t="s">
        <v>95</v>
      </c>
      <c r="AB51" s="20" t="s">
        <v>95</v>
      </c>
      <c r="AC51" s="20" t="s">
        <v>95</v>
      </c>
      <c r="AD51" s="20" t="s">
        <v>96</v>
      </c>
      <c r="AE51" s="20" t="s">
        <v>111</v>
      </c>
      <c r="AF51" s="21"/>
    </row>
    <row r="52" customFormat="false" ht="13.5" hidden="false" customHeight="false" outlineLevel="0" collapsed="false">
      <c r="A52" s="2" t="s">
        <v>91</v>
      </c>
      <c r="B52" s="2" t="n">
        <v>48</v>
      </c>
      <c r="C52" s="17" t="n">
        <v>139000</v>
      </c>
      <c r="D52" s="17" t="n">
        <v>541000</v>
      </c>
      <c r="E52" s="17" t="n">
        <v>139006.766</v>
      </c>
      <c r="F52" s="17" t="n">
        <v>540995.309</v>
      </c>
      <c r="G52" s="18" t="n">
        <v>45951.3506712963</v>
      </c>
      <c r="H52" s="19" t="n">
        <v>4.1</v>
      </c>
      <c r="I52" s="19" t="n">
        <v>1.55</v>
      </c>
      <c r="J52" s="19" t="n">
        <v>5.5</v>
      </c>
      <c r="K52" s="20" t="n">
        <v>0</v>
      </c>
      <c r="L52" s="20" t="s">
        <v>92</v>
      </c>
      <c r="M52" s="20" t="s">
        <v>92</v>
      </c>
      <c r="N52" s="20" t="s">
        <v>92</v>
      </c>
      <c r="O52" s="20" t="s">
        <v>93</v>
      </c>
      <c r="P52" s="20" t="s">
        <v>93</v>
      </c>
      <c r="Q52" s="20" t="s">
        <v>93</v>
      </c>
      <c r="R52" s="20" t="s">
        <v>93</v>
      </c>
      <c r="S52" s="20" t="s">
        <v>93</v>
      </c>
      <c r="T52" s="20" t="s">
        <v>94</v>
      </c>
      <c r="U52" s="20" t="s">
        <v>94</v>
      </c>
      <c r="V52" s="20" t="s">
        <v>94</v>
      </c>
      <c r="W52" s="20" t="s">
        <v>94</v>
      </c>
      <c r="X52" s="20" t="s">
        <v>94</v>
      </c>
      <c r="Y52" s="20" t="s">
        <v>95</v>
      </c>
      <c r="Z52" s="20" t="s">
        <v>92</v>
      </c>
      <c r="AA52" s="20" t="s">
        <v>92</v>
      </c>
      <c r="AB52" s="20" t="s">
        <v>95</v>
      </c>
      <c r="AC52" s="20" t="s">
        <v>95</v>
      </c>
      <c r="AD52" s="20" t="s">
        <v>96</v>
      </c>
      <c r="AE52" s="20" t="s">
        <v>106</v>
      </c>
      <c r="AF52" s="21"/>
    </row>
    <row r="53" customFormat="false" ht="13.5" hidden="false" customHeight="false" outlineLevel="0" collapsed="false">
      <c r="A53" s="2" t="s">
        <v>91</v>
      </c>
      <c r="B53" s="2" t="n">
        <v>49</v>
      </c>
      <c r="C53" s="17" t="n">
        <v>143000</v>
      </c>
      <c r="D53" s="17" t="n">
        <v>541000</v>
      </c>
      <c r="E53" s="17" t="n">
        <v>143005.629</v>
      </c>
      <c r="F53" s="17" t="n">
        <v>540993.161</v>
      </c>
      <c r="G53" s="18" t="n">
        <v>45952.3569212963</v>
      </c>
      <c r="H53" s="19" t="n">
        <v>5.9</v>
      </c>
      <c r="I53" s="19" t="s">
        <v>92</v>
      </c>
      <c r="J53" s="19" t="s">
        <v>92</v>
      </c>
      <c r="K53" s="20" t="n">
        <v>0</v>
      </c>
      <c r="L53" s="20" t="s">
        <v>92</v>
      </c>
      <c r="M53" s="20" t="s">
        <v>92</v>
      </c>
      <c r="N53" s="20" t="s">
        <v>92</v>
      </c>
      <c r="O53" s="20" t="s">
        <v>101</v>
      </c>
      <c r="P53" s="20" t="s">
        <v>101</v>
      </c>
      <c r="Q53" s="20" t="s">
        <v>101</v>
      </c>
      <c r="R53" s="20" t="s">
        <v>101</v>
      </c>
      <c r="S53" s="20" t="s">
        <v>101</v>
      </c>
      <c r="T53" s="20" t="s">
        <v>102</v>
      </c>
      <c r="U53" s="20" t="s">
        <v>102</v>
      </c>
      <c r="V53" s="20" t="s">
        <v>102</v>
      </c>
      <c r="W53" s="20" t="s">
        <v>102</v>
      </c>
      <c r="X53" s="20" t="s">
        <v>102</v>
      </c>
      <c r="Y53" s="20" t="s">
        <v>92</v>
      </c>
      <c r="Z53" s="20" t="s">
        <v>92</v>
      </c>
      <c r="AA53" s="20" t="s">
        <v>92</v>
      </c>
      <c r="AB53" s="20" t="s">
        <v>92</v>
      </c>
      <c r="AC53" s="20" t="s">
        <v>92</v>
      </c>
      <c r="AD53" s="20" t="s">
        <v>96</v>
      </c>
      <c r="AE53" s="20" t="s">
        <v>111</v>
      </c>
      <c r="AF53" s="21"/>
    </row>
    <row r="54" customFormat="false" ht="13.5" hidden="false" customHeight="false" outlineLevel="0" collapsed="false">
      <c r="A54" s="2" t="s">
        <v>91</v>
      </c>
      <c r="B54" s="2" t="n">
        <v>50</v>
      </c>
      <c r="C54" s="17" t="n">
        <v>147000</v>
      </c>
      <c r="D54" s="17" t="n">
        <v>541000</v>
      </c>
      <c r="E54" s="17" t="n">
        <v>147003.602</v>
      </c>
      <c r="F54" s="17" t="n">
        <v>540991.631</v>
      </c>
      <c r="G54" s="18" t="n">
        <v>45952.3887847222</v>
      </c>
      <c r="H54" s="19" t="n">
        <v>5.66</v>
      </c>
      <c r="I54" s="19" t="s">
        <v>92</v>
      </c>
      <c r="J54" s="19" t="s">
        <v>92</v>
      </c>
      <c r="K54" s="20" t="n">
        <v>0</v>
      </c>
      <c r="L54" s="20" t="s">
        <v>92</v>
      </c>
      <c r="M54" s="20" t="s">
        <v>92</v>
      </c>
      <c r="N54" s="20" t="s">
        <v>92</v>
      </c>
      <c r="O54" s="20" t="s">
        <v>101</v>
      </c>
      <c r="P54" s="20" t="s">
        <v>101</v>
      </c>
      <c r="Q54" s="20" t="s">
        <v>101</v>
      </c>
      <c r="R54" s="20" t="s">
        <v>101</v>
      </c>
      <c r="S54" s="20" t="s">
        <v>101</v>
      </c>
      <c r="T54" s="20" t="s">
        <v>102</v>
      </c>
      <c r="U54" s="20" t="s">
        <v>102</v>
      </c>
      <c r="V54" s="20" t="s">
        <v>102</v>
      </c>
      <c r="W54" s="20" t="s">
        <v>102</v>
      </c>
      <c r="X54" s="20" t="s">
        <v>102</v>
      </c>
      <c r="Y54" s="20" t="s">
        <v>92</v>
      </c>
      <c r="Z54" s="20" t="s">
        <v>92</v>
      </c>
      <c r="AA54" s="20" t="s">
        <v>92</v>
      </c>
      <c r="AB54" s="20" t="s">
        <v>92</v>
      </c>
      <c r="AC54" s="20" t="s">
        <v>92</v>
      </c>
      <c r="AD54" s="20" t="s">
        <v>96</v>
      </c>
      <c r="AE54" s="20" t="s">
        <v>111</v>
      </c>
      <c r="AF54" s="21"/>
    </row>
    <row r="55" customFormat="false" ht="13.5" hidden="false" customHeight="false" outlineLevel="0" collapsed="false">
      <c r="A55" s="2" t="s">
        <v>91</v>
      </c>
      <c r="B55" s="2" t="n">
        <v>51</v>
      </c>
      <c r="C55" s="17" t="n">
        <v>151000</v>
      </c>
      <c r="D55" s="17" t="n">
        <v>541000</v>
      </c>
      <c r="E55" s="17" t="n">
        <v>150997.523</v>
      </c>
      <c r="F55" s="17" t="n">
        <v>540989.83</v>
      </c>
      <c r="G55" s="18" t="n">
        <v>45952.4946064815</v>
      </c>
      <c r="H55" s="19" t="n">
        <v>3.86</v>
      </c>
      <c r="I55" s="19" t="n">
        <v>18</v>
      </c>
      <c r="J55" s="19" t="n">
        <v>6</v>
      </c>
      <c r="K55" s="20" t="n">
        <v>0</v>
      </c>
      <c r="L55" s="20" t="s">
        <v>92</v>
      </c>
      <c r="M55" s="20" t="s">
        <v>92</v>
      </c>
      <c r="N55" s="20" t="s">
        <v>92</v>
      </c>
      <c r="O55" s="20" t="s">
        <v>93</v>
      </c>
      <c r="P55" s="20" t="s">
        <v>93</v>
      </c>
      <c r="Q55" s="20" t="s">
        <v>93</v>
      </c>
      <c r="R55" s="20" t="s">
        <v>93</v>
      </c>
      <c r="S55" s="20" t="s">
        <v>93</v>
      </c>
      <c r="T55" s="20" t="s">
        <v>94</v>
      </c>
      <c r="U55" s="20" t="s">
        <v>94</v>
      </c>
      <c r="V55" s="20" t="s">
        <v>94</v>
      </c>
      <c r="W55" s="20" t="s">
        <v>94</v>
      </c>
      <c r="X55" s="20" t="s">
        <v>94</v>
      </c>
      <c r="Y55" s="20" t="s">
        <v>93</v>
      </c>
      <c r="Z55" s="20" t="s">
        <v>93</v>
      </c>
      <c r="AA55" s="20" t="s">
        <v>93</v>
      </c>
      <c r="AB55" s="20" t="s">
        <v>93</v>
      </c>
      <c r="AC55" s="20" t="s">
        <v>93</v>
      </c>
      <c r="AD55" s="20" t="s">
        <v>96</v>
      </c>
      <c r="AE55" s="20" t="s">
        <v>111</v>
      </c>
      <c r="AF55" s="21"/>
    </row>
    <row r="56" customFormat="false" ht="13.5" hidden="false" customHeight="false" outlineLevel="0" collapsed="false">
      <c r="A56" s="2" t="s">
        <v>91</v>
      </c>
      <c r="B56" s="2" t="n">
        <v>52</v>
      </c>
      <c r="C56" s="17" t="n">
        <v>155000</v>
      </c>
      <c r="D56" s="17" t="n">
        <v>541000</v>
      </c>
      <c r="E56" s="17" t="n">
        <v>155010.436</v>
      </c>
      <c r="F56" s="17" t="n">
        <v>540986.3</v>
      </c>
      <c r="G56" s="18" t="n">
        <v>45952.4597106481</v>
      </c>
      <c r="H56" s="19" t="n">
        <v>2.28</v>
      </c>
      <c r="I56" s="19" t="n">
        <v>0.5</v>
      </c>
      <c r="J56" s="19" t="n">
        <v>0.6</v>
      </c>
      <c r="K56" s="20" t="n">
        <v>0</v>
      </c>
      <c r="L56" s="20" t="n">
        <v>4.5</v>
      </c>
      <c r="M56" s="20" t="n">
        <v>8</v>
      </c>
      <c r="N56" s="20" t="s">
        <v>92</v>
      </c>
      <c r="O56" s="20" t="s">
        <v>93</v>
      </c>
      <c r="P56" s="20" t="s">
        <v>93</v>
      </c>
      <c r="Q56" s="20" t="s">
        <v>93</v>
      </c>
      <c r="R56" s="20" t="s">
        <v>93</v>
      </c>
      <c r="S56" s="20" t="s">
        <v>93</v>
      </c>
      <c r="T56" s="20" t="s">
        <v>105</v>
      </c>
      <c r="U56" s="20" t="s">
        <v>105</v>
      </c>
      <c r="V56" s="20" t="s">
        <v>105</v>
      </c>
      <c r="W56" s="20" t="s">
        <v>105</v>
      </c>
      <c r="X56" s="20" t="s">
        <v>105</v>
      </c>
      <c r="Y56" s="20" t="s">
        <v>92</v>
      </c>
      <c r="Z56" s="20" t="s">
        <v>118</v>
      </c>
      <c r="AA56" s="20" t="s">
        <v>95</v>
      </c>
      <c r="AB56" s="20" t="s">
        <v>92</v>
      </c>
      <c r="AC56" s="20" t="s">
        <v>92</v>
      </c>
      <c r="AD56" s="20" t="s">
        <v>96</v>
      </c>
      <c r="AE56" s="20" t="s">
        <v>111</v>
      </c>
      <c r="AF56" s="21"/>
    </row>
    <row r="57" customFormat="false" ht="13.5" hidden="false" customHeight="false" outlineLevel="0" collapsed="false">
      <c r="A57" s="2" t="s">
        <v>119</v>
      </c>
      <c r="B57" s="2" t="n">
        <v>53</v>
      </c>
      <c r="C57" s="17" t="n">
        <v>137000</v>
      </c>
      <c r="D57" s="17" t="n">
        <v>539000</v>
      </c>
      <c r="E57" s="17" t="n">
        <v>136992.123</v>
      </c>
      <c r="F57" s="17" t="n">
        <v>538997.887</v>
      </c>
      <c r="G57" s="18" t="n">
        <v>45950.6472106481</v>
      </c>
      <c r="H57" s="19" t="n">
        <v>3.46</v>
      </c>
      <c r="I57" s="19" t="n">
        <v>11</v>
      </c>
      <c r="J57" s="19" t="n">
        <v>214</v>
      </c>
      <c r="K57" s="20" t="n">
        <v>0</v>
      </c>
      <c r="L57" s="20" t="s">
        <v>92</v>
      </c>
      <c r="M57" s="20" t="s">
        <v>92</v>
      </c>
      <c r="N57" s="20" t="s">
        <v>92</v>
      </c>
      <c r="O57" s="20" t="s">
        <v>93</v>
      </c>
      <c r="P57" s="20" t="s">
        <v>93</v>
      </c>
      <c r="Q57" s="20" t="s">
        <v>93</v>
      </c>
      <c r="R57" s="20" t="s">
        <v>93</v>
      </c>
      <c r="S57" s="20" t="s">
        <v>93</v>
      </c>
      <c r="T57" s="20" t="s">
        <v>99</v>
      </c>
      <c r="U57" s="20" t="s">
        <v>99</v>
      </c>
      <c r="V57" s="20" t="s">
        <v>99</v>
      </c>
      <c r="W57" s="20" t="s">
        <v>99</v>
      </c>
      <c r="X57" s="20" t="s">
        <v>99</v>
      </c>
      <c r="Y57" s="20" t="s">
        <v>95</v>
      </c>
      <c r="Z57" s="20" t="s">
        <v>95</v>
      </c>
      <c r="AA57" s="20" t="s">
        <v>95</v>
      </c>
      <c r="AB57" s="20" t="s">
        <v>117</v>
      </c>
      <c r="AC57" s="20" t="s">
        <v>95</v>
      </c>
      <c r="AD57" s="20" t="s">
        <v>96</v>
      </c>
      <c r="AE57" s="20" t="s">
        <v>120</v>
      </c>
      <c r="AF57" s="21"/>
    </row>
    <row r="58" customFormat="false" ht="13.5" hidden="false" customHeight="false" outlineLevel="0" collapsed="false">
      <c r="A58" s="2" t="s">
        <v>119</v>
      </c>
      <c r="B58" s="2" t="n">
        <v>54</v>
      </c>
      <c r="C58" s="17" t="n">
        <v>141000</v>
      </c>
      <c r="D58" s="17" t="n">
        <v>539000</v>
      </c>
      <c r="E58" s="17" t="n">
        <v>140988.48</v>
      </c>
      <c r="F58" s="17" t="n">
        <v>539002.554</v>
      </c>
      <c r="G58" s="18" t="n">
        <v>45950.5947569445</v>
      </c>
      <c r="H58" s="19" t="n">
        <v>4.24</v>
      </c>
      <c r="I58" s="19" t="n">
        <v>2</v>
      </c>
      <c r="J58" s="19" t="n">
        <v>64</v>
      </c>
      <c r="K58" s="20" t="n">
        <v>0</v>
      </c>
      <c r="L58" s="20" t="s">
        <v>92</v>
      </c>
      <c r="M58" s="20" t="s">
        <v>92</v>
      </c>
      <c r="N58" s="20" t="s">
        <v>92</v>
      </c>
      <c r="O58" s="20" t="s">
        <v>93</v>
      </c>
      <c r="P58" s="20" t="s">
        <v>93</v>
      </c>
      <c r="Q58" s="20" t="s">
        <v>93</v>
      </c>
      <c r="R58" s="20" t="s">
        <v>93</v>
      </c>
      <c r="S58" s="20" t="s">
        <v>93</v>
      </c>
      <c r="T58" s="20" t="s">
        <v>94</v>
      </c>
      <c r="U58" s="20" t="s">
        <v>94</v>
      </c>
      <c r="V58" s="20" t="s">
        <v>94</v>
      </c>
      <c r="W58" s="20" t="s">
        <v>94</v>
      </c>
      <c r="X58" s="20" t="s">
        <v>94</v>
      </c>
      <c r="Y58" s="20" t="s">
        <v>95</v>
      </c>
      <c r="Z58" s="20" t="s">
        <v>95</v>
      </c>
      <c r="AA58" s="20" t="s">
        <v>95</v>
      </c>
      <c r="AB58" s="20" t="s">
        <v>95</v>
      </c>
      <c r="AC58" s="20" t="s">
        <v>95</v>
      </c>
      <c r="AD58" s="20" t="s">
        <v>96</v>
      </c>
      <c r="AE58" s="20" t="s">
        <v>120</v>
      </c>
      <c r="AF58" s="21"/>
    </row>
    <row r="59" customFormat="false" ht="13.5" hidden="false" customHeight="false" outlineLevel="0" collapsed="false">
      <c r="A59" s="2" t="s">
        <v>119</v>
      </c>
      <c r="B59" s="2" t="n">
        <v>55</v>
      </c>
      <c r="C59" s="17" t="n">
        <v>145000</v>
      </c>
      <c r="D59" s="17" t="n">
        <v>539000</v>
      </c>
      <c r="E59" s="17" t="n">
        <v>144990.479</v>
      </c>
      <c r="F59" s="17" t="n">
        <v>539012.494</v>
      </c>
      <c r="G59" s="18" t="n">
        <v>45950.5618981481</v>
      </c>
      <c r="H59" s="19" t="n">
        <v>6.3</v>
      </c>
      <c r="I59" s="19" t="s">
        <v>92</v>
      </c>
      <c r="J59" s="19" t="s">
        <v>92</v>
      </c>
      <c r="K59" s="20" t="n">
        <v>0</v>
      </c>
      <c r="L59" s="20" t="s">
        <v>92</v>
      </c>
      <c r="M59" s="20" t="s">
        <v>92</v>
      </c>
      <c r="N59" s="20" t="s">
        <v>92</v>
      </c>
      <c r="O59" s="20" t="s">
        <v>101</v>
      </c>
      <c r="P59" s="20" t="s">
        <v>101</v>
      </c>
      <c r="Q59" s="20" t="s">
        <v>101</v>
      </c>
      <c r="R59" s="20" t="s">
        <v>101</v>
      </c>
      <c r="S59" s="20" t="s">
        <v>101</v>
      </c>
      <c r="T59" s="20" t="s">
        <v>102</v>
      </c>
      <c r="U59" s="20" t="s">
        <v>102</v>
      </c>
      <c r="V59" s="20" t="s">
        <v>102</v>
      </c>
      <c r="W59" s="20" t="s">
        <v>102</v>
      </c>
      <c r="X59" s="20" t="s">
        <v>102</v>
      </c>
      <c r="Y59" s="20" t="s">
        <v>92</v>
      </c>
      <c r="Z59" s="20" t="s">
        <v>92</v>
      </c>
      <c r="AA59" s="20" t="s">
        <v>92</v>
      </c>
      <c r="AB59" s="20" t="s">
        <v>92</v>
      </c>
      <c r="AC59" s="20" t="s">
        <v>92</v>
      </c>
      <c r="AD59" s="20" t="s">
        <v>96</v>
      </c>
      <c r="AE59" s="20" t="s">
        <v>120</v>
      </c>
      <c r="AF59" s="21"/>
    </row>
    <row r="60" customFormat="false" ht="13.5" hidden="false" customHeight="false" outlineLevel="0" collapsed="false">
      <c r="A60" s="2" t="s">
        <v>119</v>
      </c>
      <c r="B60" s="2" t="n">
        <v>56</v>
      </c>
      <c r="C60" s="17" t="n">
        <v>149000</v>
      </c>
      <c r="D60" s="17" t="n">
        <v>539000</v>
      </c>
      <c r="E60" s="17" t="n">
        <v>149006.18</v>
      </c>
      <c r="F60" s="17" t="n">
        <v>539012.132</v>
      </c>
      <c r="G60" s="18" t="n">
        <v>45952.4051851852</v>
      </c>
      <c r="H60" s="19" t="n">
        <v>3</v>
      </c>
      <c r="I60" s="19" t="n">
        <v>0.1</v>
      </c>
      <c r="J60" s="19" t="n">
        <v>0.4</v>
      </c>
      <c r="K60" s="20" t="n">
        <v>0</v>
      </c>
      <c r="L60" s="20" t="s">
        <v>92</v>
      </c>
      <c r="M60" s="20" t="s">
        <v>92</v>
      </c>
      <c r="N60" s="20" t="s">
        <v>92</v>
      </c>
      <c r="O60" s="20" t="s">
        <v>93</v>
      </c>
      <c r="P60" s="20" t="s">
        <v>93</v>
      </c>
      <c r="Q60" s="20" t="s">
        <v>93</v>
      </c>
      <c r="R60" s="20" t="s">
        <v>93</v>
      </c>
      <c r="S60" s="20" t="s">
        <v>93</v>
      </c>
      <c r="T60" s="20" t="s">
        <v>105</v>
      </c>
      <c r="U60" s="20" t="s">
        <v>105</v>
      </c>
      <c r="V60" s="20" t="s">
        <v>105</v>
      </c>
      <c r="W60" s="20" t="s">
        <v>105</v>
      </c>
      <c r="X60" s="20" t="s">
        <v>105</v>
      </c>
      <c r="Y60" s="20" t="s">
        <v>107</v>
      </c>
      <c r="Z60" s="20" t="s">
        <v>93</v>
      </c>
      <c r="AA60" s="20" t="s">
        <v>93</v>
      </c>
      <c r="AB60" s="20" t="s">
        <v>92</v>
      </c>
      <c r="AC60" s="20" t="s">
        <v>92</v>
      </c>
      <c r="AD60" s="20" t="s">
        <v>96</v>
      </c>
      <c r="AE60" s="20" t="s">
        <v>111</v>
      </c>
      <c r="AF60" s="21" t="s">
        <v>108</v>
      </c>
    </row>
    <row r="61" customFormat="false" ht="13.5" hidden="false" customHeight="false" outlineLevel="0" collapsed="false">
      <c r="A61" s="2" t="s">
        <v>119</v>
      </c>
      <c r="B61" s="2" t="n">
        <v>57</v>
      </c>
      <c r="C61" s="17" t="n">
        <v>153000</v>
      </c>
      <c r="D61" s="17" t="n">
        <v>539000</v>
      </c>
      <c r="E61" s="17" t="n">
        <v>153023.214</v>
      </c>
      <c r="F61" s="17" t="n">
        <v>538998.391</v>
      </c>
      <c r="G61" s="18" t="n">
        <v>45952.4404166667</v>
      </c>
      <c r="H61" s="19" t="n">
        <v>2.98</v>
      </c>
      <c r="I61" s="19" t="n">
        <v>0.8</v>
      </c>
      <c r="J61" s="19" t="s">
        <v>92</v>
      </c>
      <c r="K61" s="20" t="n">
        <v>0</v>
      </c>
      <c r="L61" s="20" t="n">
        <v>2</v>
      </c>
      <c r="M61" s="20" t="n">
        <v>1</v>
      </c>
      <c r="N61" s="20" t="s">
        <v>92</v>
      </c>
      <c r="O61" s="20" t="s">
        <v>93</v>
      </c>
      <c r="P61" s="20" t="s">
        <v>93</v>
      </c>
      <c r="Q61" s="20" t="s">
        <v>93</v>
      </c>
      <c r="R61" s="20" t="s">
        <v>93</v>
      </c>
      <c r="S61" s="20" t="s">
        <v>93</v>
      </c>
      <c r="T61" s="20" t="s">
        <v>105</v>
      </c>
      <c r="U61" s="20" t="s">
        <v>105</v>
      </c>
      <c r="V61" s="20" t="s">
        <v>105</v>
      </c>
      <c r="W61" s="20" t="s">
        <v>105</v>
      </c>
      <c r="X61" s="20" t="s">
        <v>105</v>
      </c>
      <c r="Y61" s="20" t="s">
        <v>118</v>
      </c>
      <c r="Z61" s="20" t="s">
        <v>93</v>
      </c>
      <c r="AA61" s="20" t="s">
        <v>93</v>
      </c>
      <c r="AB61" s="20" t="s">
        <v>92</v>
      </c>
      <c r="AC61" s="20" t="s">
        <v>93</v>
      </c>
      <c r="AD61" s="20" t="s">
        <v>96</v>
      </c>
      <c r="AE61" s="20" t="s">
        <v>111</v>
      </c>
      <c r="AF61" s="21"/>
    </row>
    <row r="62" customFormat="false" ht="13.5" hidden="false" customHeight="false" outlineLevel="0" collapsed="false">
      <c r="A62" s="2" t="s">
        <v>119</v>
      </c>
      <c r="B62" s="2" t="n">
        <v>58</v>
      </c>
      <c r="C62" s="17" t="n">
        <v>157000</v>
      </c>
      <c r="D62" s="17" t="n">
        <v>539000</v>
      </c>
      <c r="E62" s="17" t="n">
        <v>157559.528</v>
      </c>
      <c r="F62" s="17" t="n">
        <v>538611.763</v>
      </c>
      <c r="G62" s="18" t="n">
        <v>45950.4613657407</v>
      </c>
      <c r="H62" s="19" t="n">
        <v>2.54</v>
      </c>
      <c r="I62" s="19" t="n">
        <v>0.2</v>
      </c>
      <c r="J62" s="19" t="s">
        <v>92</v>
      </c>
      <c r="K62" s="20" t="n">
        <v>0</v>
      </c>
      <c r="L62" s="20" t="n">
        <v>2</v>
      </c>
      <c r="M62" s="20" t="n">
        <v>3</v>
      </c>
      <c r="N62" s="20" t="s">
        <v>92</v>
      </c>
      <c r="O62" s="20" t="s">
        <v>93</v>
      </c>
      <c r="P62" s="20" t="s">
        <v>93</v>
      </c>
      <c r="Q62" s="20" t="s">
        <v>93</v>
      </c>
      <c r="R62" s="20" t="s">
        <v>93</v>
      </c>
      <c r="S62" s="20" t="s">
        <v>93</v>
      </c>
      <c r="T62" s="20" t="s">
        <v>94</v>
      </c>
      <c r="U62" s="20" t="s">
        <v>94</v>
      </c>
      <c r="V62" s="20" t="s">
        <v>94</v>
      </c>
      <c r="W62" s="20" t="s">
        <v>94</v>
      </c>
      <c r="X62" s="20" t="s">
        <v>99</v>
      </c>
      <c r="Y62" s="20" t="s">
        <v>92</v>
      </c>
      <c r="Z62" s="20" t="s">
        <v>92</v>
      </c>
      <c r="AA62" s="20" t="s">
        <v>121</v>
      </c>
      <c r="AB62" s="20" t="s">
        <v>92</v>
      </c>
      <c r="AC62" s="20" t="s">
        <v>92</v>
      </c>
      <c r="AD62" s="20" t="s">
        <v>96</v>
      </c>
      <c r="AE62" s="20" t="s">
        <v>120</v>
      </c>
      <c r="AF62" s="21" t="s">
        <v>122</v>
      </c>
    </row>
    <row r="63" customFormat="false" ht="13.5" hidden="false" customHeight="false" outlineLevel="0" collapsed="false">
      <c r="A63" s="2" t="s">
        <v>119</v>
      </c>
      <c r="B63" s="2" t="n">
        <v>59</v>
      </c>
      <c r="C63" s="17" t="n">
        <v>161000</v>
      </c>
      <c r="D63" s="17" t="n">
        <v>539000</v>
      </c>
      <c r="E63" s="17" t="n">
        <v>160998.418</v>
      </c>
      <c r="F63" s="17" t="n">
        <v>538999.591</v>
      </c>
      <c r="G63" s="18" t="n">
        <v>45950.4383101852</v>
      </c>
      <c r="H63" s="19" t="n">
        <v>3.74</v>
      </c>
      <c r="I63" s="19" t="n">
        <v>1.4</v>
      </c>
      <c r="J63" s="19" t="n">
        <v>0.8</v>
      </c>
      <c r="K63" s="20" t="n">
        <v>0</v>
      </c>
      <c r="L63" s="20" t="s">
        <v>92</v>
      </c>
      <c r="M63" s="20" t="s">
        <v>92</v>
      </c>
      <c r="N63" s="20" t="s">
        <v>92</v>
      </c>
      <c r="O63" s="20" t="s">
        <v>98</v>
      </c>
      <c r="P63" s="20" t="s">
        <v>93</v>
      </c>
      <c r="Q63" s="20" t="s">
        <v>93</v>
      </c>
      <c r="R63" s="20" t="s">
        <v>98</v>
      </c>
      <c r="S63" s="20" t="s">
        <v>98</v>
      </c>
      <c r="T63" s="20" t="s">
        <v>100</v>
      </c>
      <c r="U63" s="20" t="s">
        <v>94</v>
      </c>
      <c r="V63" s="20" t="s">
        <v>123</v>
      </c>
      <c r="W63" s="20" t="s">
        <v>100</v>
      </c>
      <c r="X63" s="20" t="s">
        <v>99</v>
      </c>
      <c r="Y63" s="20" t="s">
        <v>92</v>
      </c>
      <c r="Z63" s="20" t="s">
        <v>92</v>
      </c>
      <c r="AA63" s="20" t="s">
        <v>93</v>
      </c>
      <c r="AB63" s="20" t="s">
        <v>92</v>
      </c>
      <c r="AC63" s="20" t="s">
        <v>95</v>
      </c>
      <c r="AD63" s="20" t="s">
        <v>96</v>
      </c>
      <c r="AE63" s="20" t="s">
        <v>120</v>
      </c>
      <c r="AF63" s="21"/>
    </row>
    <row r="64" customFormat="false" ht="13.5" hidden="false" customHeight="false" outlineLevel="0" collapsed="false">
      <c r="A64" s="2" t="s">
        <v>119</v>
      </c>
      <c r="B64" s="2" t="n">
        <v>60</v>
      </c>
      <c r="C64" s="17" t="n">
        <v>139000</v>
      </c>
      <c r="D64" s="17" t="n">
        <v>537000</v>
      </c>
      <c r="E64" s="17" t="n">
        <v>139007.728</v>
      </c>
      <c r="F64" s="17" t="n">
        <v>536999.537</v>
      </c>
      <c r="G64" s="18" t="n">
        <v>45950.6107523148</v>
      </c>
      <c r="H64" s="19" t="n">
        <v>4.56</v>
      </c>
      <c r="I64" s="19" t="n">
        <v>19</v>
      </c>
      <c r="J64" s="19" t="n">
        <v>245</v>
      </c>
      <c r="K64" s="20" t="n">
        <v>0</v>
      </c>
      <c r="L64" s="20" t="s">
        <v>92</v>
      </c>
      <c r="M64" s="20" t="s">
        <v>92</v>
      </c>
      <c r="N64" s="20" t="s">
        <v>92</v>
      </c>
      <c r="O64" s="20" t="s">
        <v>93</v>
      </c>
      <c r="P64" s="20" t="s">
        <v>98</v>
      </c>
      <c r="Q64" s="20" t="s">
        <v>98</v>
      </c>
      <c r="R64" s="20" t="s">
        <v>98</v>
      </c>
      <c r="S64" s="20" t="s">
        <v>93</v>
      </c>
      <c r="T64" s="20" t="s">
        <v>94</v>
      </c>
      <c r="U64" s="20" t="s">
        <v>99</v>
      </c>
      <c r="V64" s="20" t="s">
        <v>99</v>
      </c>
      <c r="W64" s="20" t="s">
        <v>99</v>
      </c>
      <c r="X64" s="20" t="s">
        <v>99</v>
      </c>
      <c r="Y64" s="20" t="s">
        <v>95</v>
      </c>
      <c r="Z64" s="20" t="s">
        <v>92</v>
      </c>
      <c r="AA64" s="20" t="s">
        <v>92</v>
      </c>
      <c r="AB64" s="20" t="s">
        <v>95</v>
      </c>
      <c r="AC64" s="20" t="s">
        <v>95</v>
      </c>
      <c r="AD64" s="20" t="s">
        <v>96</v>
      </c>
      <c r="AE64" s="20" t="s">
        <v>120</v>
      </c>
      <c r="AF64" s="21"/>
    </row>
    <row r="65" customFormat="false" ht="13.5" hidden="false" customHeight="false" outlineLevel="0" collapsed="false">
      <c r="A65" s="2" t="s">
        <v>119</v>
      </c>
      <c r="B65" s="2" t="n">
        <v>61</v>
      </c>
      <c r="C65" s="17" t="n">
        <v>143000</v>
      </c>
      <c r="D65" s="17" t="n">
        <v>537000</v>
      </c>
      <c r="E65" s="17" t="n">
        <v>143000.319</v>
      </c>
      <c r="F65" s="17" t="n">
        <v>537003.982</v>
      </c>
      <c r="G65" s="18" t="n">
        <v>45950.5788310185</v>
      </c>
      <c r="H65" s="19" t="n">
        <v>5.1</v>
      </c>
      <c r="I65" s="19" t="n">
        <v>2.8</v>
      </c>
      <c r="J65" s="19" t="n">
        <v>29</v>
      </c>
      <c r="K65" s="20" t="n">
        <v>0</v>
      </c>
      <c r="L65" s="20" t="s">
        <v>92</v>
      </c>
      <c r="M65" s="20" t="s">
        <v>92</v>
      </c>
      <c r="N65" s="20" t="s">
        <v>92</v>
      </c>
      <c r="O65" s="20" t="s">
        <v>110</v>
      </c>
      <c r="P65" s="20" t="s">
        <v>93</v>
      </c>
      <c r="Q65" s="20" t="s">
        <v>93</v>
      </c>
      <c r="R65" s="20" t="s">
        <v>124</v>
      </c>
      <c r="S65" s="20" t="s">
        <v>93</v>
      </c>
      <c r="T65" s="20" t="s">
        <v>94</v>
      </c>
      <c r="U65" s="20" t="s">
        <v>94</v>
      </c>
      <c r="V65" s="20" t="s">
        <v>94</v>
      </c>
      <c r="W65" s="20" t="s">
        <v>94</v>
      </c>
      <c r="X65" s="20" t="s">
        <v>94</v>
      </c>
      <c r="Y65" s="20" t="s">
        <v>95</v>
      </c>
      <c r="Z65" s="20" t="s">
        <v>95</v>
      </c>
      <c r="AA65" s="20" t="s">
        <v>92</v>
      </c>
      <c r="AB65" s="20" t="s">
        <v>95</v>
      </c>
      <c r="AC65" s="20" t="s">
        <v>95</v>
      </c>
      <c r="AD65" s="20" t="s">
        <v>96</v>
      </c>
      <c r="AE65" s="20" t="s">
        <v>120</v>
      </c>
      <c r="AF65" s="21"/>
    </row>
    <row r="66" customFormat="false" ht="13.5" hidden="false" customHeight="false" outlineLevel="0" collapsed="false">
      <c r="A66" s="2" t="s">
        <v>119</v>
      </c>
      <c r="B66" s="2" t="n">
        <v>62</v>
      </c>
      <c r="C66" s="17" t="n">
        <v>147000</v>
      </c>
      <c r="D66" s="17" t="n">
        <v>537000</v>
      </c>
      <c r="E66" s="17" t="n">
        <v>146992.545</v>
      </c>
      <c r="F66" s="17" t="n">
        <v>537007.696</v>
      </c>
      <c r="G66" s="18" t="n">
        <v>45950.5435300926</v>
      </c>
      <c r="H66" s="19" t="n">
        <v>6.14</v>
      </c>
      <c r="I66" s="19" t="s">
        <v>92</v>
      </c>
      <c r="J66" s="19" t="s">
        <v>92</v>
      </c>
      <c r="K66" s="20" t="n">
        <v>0</v>
      </c>
      <c r="L66" s="20" t="s">
        <v>92</v>
      </c>
      <c r="M66" s="20" t="s">
        <v>92</v>
      </c>
      <c r="N66" s="20" t="s">
        <v>92</v>
      </c>
      <c r="O66" s="20" t="s">
        <v>101</v>
      </c>
      <c r="P66" s="20" t="s">
        <v>101</v>
      </c>
      <c r="Q66" s="20" t="s">
        <v>101</v>
      </c>
      <c r="R66" s="20" t="s">
        <v>101</v>
      </c>
      <c r="S66" s="20" t="s">
        <v>101</v>
      </c>
      <c r="T66" s="20" t="s">
        <v>102</v>
      </c>
      <c r="U66" s="20" t="s">
        <v>102</v>
      </c>
      <c r="V66" s="20" t="s">
        <v>102</v>
      </c>
      <c r="W66" s="20" t="s">
        <v>102</v>
      </c>
      <c r="X66" s="20" t="s">
        <v>102</v>
      </c>
      <c r="Y66" s="20" t="s">
        <v>92</v>
      </c>
      <c r="Z66" s="20" t="s">
        <v>92</v>
      </c>
      <c r="AA66" s="20" t="s">
        <v>92</v>
      </c>
      <c r="AB66" s="20" t="s">
        <v>92</v>
      </c>
      <c r="AC66" s="20" t="s">
        <v>92</v>
      </c>
      <c r="AD66" s="20" t="s">
        <v>96</v>
      </c>
      <c r="AE66" s="20" t="s">
        <v>120</v>
      </c>
      <c r="AF66" s="21"/>
    </row>
    <row r="67" customFormat="false" ht="13.5" hidden="false" customHeight="false" outlineLevel="0" collapsed="false">
      <c r="A67" s="2" t="s">
        <v>119</v>
      </c>
      <c r="B67" s="2" t="n">
        <v>63</v>
      </c>
      <c r="C67" s="17" t="n">
        <v>151000</v>
      </c>
      <c r="D67" s="17" t="n">
        <v>537000</v>
      </c>
      <c r="E67" s="17" t="n">
        <v>151007.651</v>
      </c>
      <c r="F67" s="17" t="n">
        <v>536983.173</v>
      </c>
      <c r="G67" s="18" t="n">
        <v>45952.4216435185</v>
      </c>
      <c r="H67" s="19" t="n">
        <v>4.06</v>
      </c>
      <c r="I67" s="19" t="n">
        <v>3.5</v>
      </c>
      <c r="J67" s="19" t="n">
        <v>0.4</v>
      </c>
      <c r="K67" s="20" t="n">
        <v>0</v>
      </c>
      <c r="L67" s="20" t="n">
        <v>1</v>
      </c>
      <c r="M67" s="20" t="n">
        <v>1</v>
      </c>
      <c r="N67" s="20" t="s">
        <v>92</v>
      </c>
      <c r="O67" s="20" t="s">
        <v>93</v>
      </c>
      <c r="P67" s="20" t="s">
        <v>93</v>
      </c>
      <c r="Q67" s="20" t="s">
        <v>93</v>
      </c>
      <c r="R67" s="20" t="s">
        <v>93</v>
      </c>
      <c r="S67" s="20" t="s">
        <v>93</v>
      </c>
      <c r="T67" s="20" t="s">
        <v>105</v>
      </c>
      <c r="U67" s="20" t="s">
        <v>105</v>
      </c>
      <c r="V67" s="20" t="s">
        <v>105</v>
      </c>
      <c r="W67" s="20" t="s">
        <v>105</v>
      </c>
      <c r="X67" s="20" t="s">
        <v>105</v>
      </c>
      <c r="Y67" s="20" t="s">
        <v>92</v>
      </c>
      <c r="Z67" s="20" t="s">
        <v>92</v>
      </c>
      <c r="AA67" s="20" t="s">
        <v>93</v>
      </c>
      <c r="AB67" s="20" t="s">
        <v>93</v>
      </c>
      <c r="AC67" s="20" t="s">
        <v>121</v>
      </c>
      <c r="AD67" s="20" t="s">
        <v>96</v>
      </c>
      <c r="AE67" s="20" t="s">
        <v>111</v>
      </c>
      <c r="AF67" s="21"/>
    </row>
    <row r="68" customFormat="false" ht="13.5" hidden="false" customHeight="false" outlineLevel="0" collapsed="false">
      <c r="A68" s="2" t="s">
        <v>119</v>
      </c>
      <c r="B68" s="2" t="n">
        <v>64</v>
      </c>
      <c r="C68" s="17" t="n">
        <v>155000</v>
      </c>
      <c r="D68" s="17" t="n">
        <v>537000</v>
      </c>
      <c r="E68" s="17" t="n">
        <v>154994.005</v>
      </c>
      <c r="F68" s="17" t="n">
        <v>536992.339</v>
      </c>
      <c r="G68" s="18" t="n">
        <v>45950.4796875</v>
      </c>
      <c r="H68" s="19" t="n">
        <v>4.46</v>
      </c>
      <c r="I68" s="19" t="s">
        <v>92</v>
      </c>
      <c r="J68" s="19" t="s">
        <v>92</v>
      </c>
      <c r="K68" s="20" t="n">
        <v>0</v>
      </c>
      <c r="L68" s="20" t="s">
        <v>92</v>
      </c>
      <c r="M68" s="20" t="s">
        <v>92</v>
      </c>
      <c r="N68" s="20" t="s">
        <v>92</v>
      </c>
      <c r="O68" s="20" t="s">
        <v>93</v>
      </c>
      <c r="P68" s="20" t="s">
        <v>93</v>
      </c>
      <c r="Q68" s="20" t="s">
        <v>93</v>
      </c>
      <c r="R68" s="20" t="s">
        <v>93</v>
      </c>
      <c r="S68" s="20" t="s">
        <v>93</v>
      </c>
      <c r="T68" s="20" t="s">
        <v>99</v>
      </c>
      <c r="U68" s="20" t="s">
        <v>99</v>
      </c>
      <c r="V68" s="20" t="s">
        <v>99</v>
      </c>
      <c r="W68" s="20" t="s">
        <v>99</v>
      </c>
      <c r="X68" s="20" t="s">
        <v>99</v>
      </c>
      <c r="Y68" s="20" t="s">
        <v>92</v>
      </c>
      <c r="Z68" s="20" t="s">
        <v>92</v>
      </c>
      <c r="AA68" s="20" t="s">
        <v>92</v>
      </c>
      <c r="AB68" s="20" t="s">
        <v>92</v>
      </c>
      <c r="AC68" s="20" t="s">
        <v>92</v>
      </c>
      <c r="AD68" s="20" t="s">
        <v>96</v>
      </c>
      <c r="AE68" s="20" t="s">
        <v>120</v>
      </c>
      <c r="AF68" s="21"/>
    </row>
    <row r="69" customFormat="false" ht="13.5" hidden="false" customHeight="false" outlineLevel="0" collapsed="false">
      <c r="A69" s="2" t="s">
        <v>119</v>
      </c>
      <c r="B69" s="2" t="n">
        <v>65</v>
      </c>
      <c r="C69" s="17" t="n">
        <v>159000</v>
      </c>
      <c r="D69" s="17" t="n">
        <v>537000</v>
      </c>
      <c r="E69" s="17" t="n">
        <v>158999.542</v>
      </c>
      <c r="F69" s="17" t="n">
        <v>537019.14</v>
      </c>
      <c r="G69" s="18" t="n">
        <v>45950.4223842593</v>
      </c>
      <c r="H69" s="19" t="n">
        <v>4.56</v>
      </c>
      <c r="I69" s="19" t="n">
        <v>5</v>
      </c>
      <c r="J69" s="19" t="n">
        <v>22.6</v>
      </c>
      <c r="K69" s="20" t="n">
        <v>0</v>
      </c>
      <c r="L69" s="20" t="s">
        <v>92</v>
      </c>
      <c r="M69" s="20" t="s">
        <v>92</v>
      </c>
      <c r="N69" s="20" t="s">
        <v>92</v>
      </c>
      <c r="O69" s="20" t="s">
        <v>93</v>
      </c>
      <c r="P69" s="20" t="s">
        <v>93</v>
      </c>
      <c r="Q69" s="20" t="s">
        <v>93</v>
      </c>
      <c r="R69" s="20" t="s">
        <v>93</v>
      </c>
      <c r="S69" s="20" t="s">
        <v>93</v>
      </c>
      <c r="T69" s="20" t="s">
        <v>94</v>
      </c>
      <c r="U69" s="20" t="s">
        <v>94</v>
      </c>
      <c r="V69" s="20" t="s">
        <v>94</v>
      </c>
      <c r="W69" s="20" t="s">
        <v>94</v>
      </c>
      <c r="X69" s="20" t="s">
        <v>94</v>
      </c>
      <c r="Y69" s="20" t="s">
        <v>95</v>
      </c>
      <c r="Z69" s="20" t="s">
        <v>117</v>
      </c>
      <c r="AA69" s="20" t="s">
        <v>95</v>
      </c>
      <c r="AB69" s="20" t="s">
        <v>92</v>
      </c>
      <c r="AC69" s="20" t="s">
        <v>95</v>
      </c>
      <c r="AD69" s="20" t="s">
        <v>96</v>
      </c>
      <c r="AE69" s="20" t="s">
        <v>120</v>
      </c>
      <c r="AF69" s="21"/>
    </row>
    <row r="70" customFormat="false" ht="13.5" hidden="false" customHeight="false" outlineLevel="0" collapsed="false">
      <c r="A70" s="2" t="s">
        <v>119</v>
      </c>
      <c r="B70" s="2" t="n">
        <v>66</v>
      </c>
      <c r="C70" s="17" t="n">
        <v>163000</v>
      </c>
      <c r="D70" s="17" t="n">
        <v>537000</v>
      </c>
      <c r="E70" s="17" t="n">
        <v>163001.602</v>
      </c>
      <c r="F70" s="17" t="n">
        <v>537005.831</v>
      </c>
      <c r="G70" s="18" t="n">
        <v>45946.5965046296</v>
      </c>
      <c r="H70" s="19" t="n">
        <v>3.9</v>
      </c>
      <c r="I70" s="19" t="n">
        <v>0.6</v>
      </c>
      <c r="J70" s="19" t="n">
        <v>1.2</v>
      </c>
      <c r="K70" s="20" t="n">
        <v>0</v>
      </c>
      <c r="L70" s="20" t="n">
        <v>1.5</v>
      </c>
      <c r="M70" s="20" t="n">
        <v>1</v>
      </c>
      <c r="N70" s="20" t="s">
        <v>92</v>
      </c>
      <c r="O70" s="20" t="s">
        <v>93</v>
      </c>
      <c r="P70" s="20" t="s">
        <v>93</v>
      </c>
      <c r="Q70" s="20" t="s">
        <v>93</v>
      </c>
      <c r="R70" s="20" t="s">
        <v>93</v>
      </c>
      <c r="S70" s="20" t="s">
        <v>93</v>
      </c>
      <c r="T70" s="20" t="s">
        <v>99</v>
      </c>
      <c r="U70" s="20" t="s">
        <v>99</v>
      </c>
      <c r="V70" s="20" t="s">
        <v>99</v>
      </c>
      <c r="W70" s="20" t="s">
        <v>99</v>
      </c>
      <c r="X70" s="20" t="s">
        <v>99</v>
      </c>
      <c r="Y70" s="20" t="s">
        <v>95</v>
      </c>
      <c r="Z70" s="20" t="s">
        <v>92</v>
      </c>
      <c r="AA70" s="20" t="s">
        <v>92</v>
      </c>
      <c r="AB70" s="20" t="s">
        <v>121</v>
      </c>
      <c r="AC70" s="20" t="s">
        <v>92</v>
      </c>
      <c r="AD70" s="20" t="s">
        <v>96</v>
      </c>
      <c r="AE70" s="20" t="s">
        <v>125</v>
      </c>
      <c r="AF70" s="21"/>
    </row>
    <row r="71" customFormat="false" ht="13.5" hidden="false" customHeight="false" outlineLevel="0" collapsed="false">
      <c r="A71" s="2" t="s">
        <v>119</v>
      </c>
      <c r="B71" s="2" t="n">
        <v>67</v>
      </c>
      <c r="C71" s="17" t="n">
        <v>167000</v>
      </c>
      <c r="D71" s="17" t="n">
        <v>537000</v>
      </c>
      <c r="E71" s="17" t="n">
        <v>167002.929</v>
      </c>
      <c r="F71" s="17" t="n">
        <v>537003.044</v>
      </c>
      <c r="G71" s="18" t="n">
        <v>45946.5635300926</v>
      </c>
      <c r="H71" s="19" t="n">
        <v>3.78</v>
      </c>
      <c r="I71" s="19" t="n">
        <v>14</v>
      </c>
      <c r="J71" s="19" t="n">
        <v>2.4</v>
      </c>
      <c r="K71" s="20" t="n">
        <v>0</v>
      </c>
      <c r="L71" s="20" t="n">
        <v>2</v>
      </c>
      <c r="M71" s="20" t="n">
        <v>1</v>
      </c>
      <c r="N71" s="20" t="s">
        <v>92</v>
      </c>
      <c r="O71" s="20" t="s">
        <v>93</v>
      </c>
      <c r="P71" s="20" t="s">
        <v>93</v>
      </c>
      <c r="Q71" s="20" t="s">
        <v>93</v>
      </c>
      <c r="R71" s="20" t="s">
        <v>93</v>
      </c>
      <c r="S71" s="20" t="s">
        <v>93</v>
      </c>
      <c r="T71" s="20" t="s">
        <v>99</v>
      </c>
      <c r="U71" s="20" t="s">
        <v>99</v>
      </c>
      <c r="V71" s="20" t="s">
        <v>99</v>
      </c>
      <c r="W71" s="20" t="s">
        <v>99</v>
      </c>
      <c r="X71" s="20" t="s">
        <v>99</v>
      </c>
      <c r="Y71" s="20" t="s">
        <v>95</v>
      </c>
      <c r="Z71" s="20" t="s">
        <v>121</v>
      </c>
      <c r="AA71" s="20" t="s">
        <v>117</v>
      </c>
      <c r="AB71" s="20" t="s">
        <v>95</v>
      </c>
      <c r="AC71" s="20" t="s">
        <v>92</v>
      </c>
      <c r="AD71" s="20" t="s">
        <v>96</v>
      </c>
      <c r="AE71" s="20" t="s">
        <v>125</v>
      </c>
      <c r="AF71" s="21"/>
    </row>
    <row r="72" customFormat="false" ht="13.5" hidden="false" customHeight="false" outlineLevel="0" collapsed="false">
      <c r="A72" s="2" t="s">
        <v>119</v>
      </c>
      <c r="B72" s="2" t="n">
        <v>68</v>
      </c>
      <c r="C72" s="17" t="n">
        <v>171000</v>
      </c>
      <c r="D72" s="17" t="n">
        <v>537000</v>
      </c>
      <c r="E72" s="17" t="n">
        <v>170984.965</v>
      </c>
      <c r="F72" s="17" t="n">
        <v>536990.128</v>
      </c>
      <c r="G72" s="18" t="n">
        <v>45946.5103587963</v>
      </c>
      <c r="H72" s="19" t="n">
        <v>2.84</v>
      </c>
      <c r="I72" s="19" t="n">
        <v>1</v>
      </c>
      <c r="J72" s="19" t="n">
        <v>13</v>
      </c>
      <c r="K72" s="20" t="n">
        <v>0</v>
      </c>
      <c r="L72" s="20" t="s">
        <v>92</v>
      </c>
      <c r="M72" s="20" t="s">
        <v>92</v>
      </c>
      <c r="N72" s="20" t="s">
        <v>92</v>
      </c>
      <c r="O72" s="20" t="s">
        <v>93</v>
      </c>
      <c r="P72" s="20" t="s">
        <v>93</v>
      </c>
      <c r="Q72" s="20" t="s">
        <v>93</v>
      </c>
      <c r="R72" s="20" t="s">
        <v>93</v>
      </c>
      <c r="S72" s="20" t="s">
        <v>93</v>
      </c>
      <c r="T72" s="20" t="s">
        <v>99</v>
      </c>
      <c r="U72" s="20" t="s">
        <v>99</v>
      </c>
      <c r="V72" s="20" t="s">
        <v>99</v>
      </c>
      <c r="W72" s="20" t="s">
        <v>99</v>
      </c>
      <c r="X72" s="20" t="s">
        <v>99</v>
      </c>
      <c r="Y72" s="20" t="s">
        <v>92</v>
      </c>
      <c r="Z72" s="20" t="s">
        <v>95</v>
      </c>
      <c r="AA72" s="20" t="s">
        <v>92</v>
      </c>
      <c r="AB72" s="20" t="s">
        <v>95</v>
      </c>
      <c r="AC72" s="20" t="s">
        <v>92</v>
      </c>
      <c r="AD72" s="20" t="s">
        <v>96</v>
      </c>
      <c r="AE72" s="20" t="s">
        <v>125</v>
      </c>
      <c r="AF72" s="21"/>
    </row>
    <row r="73" customFormat="false" ht="13.5" hidden="false" customHeight="false" outlineLevel="0" collapsed="false">
      <c r="A73" s="2" t="s">
        <v>119</v>
      </c>
      <c r="B73" s="2" t="n">
        <v>69</v>
      </c>
      <c r="C73" s="17" t="n">
        <v>174000</v>
      </c>
      <c r="D73" s="17" t="n">
        <v>539000</v>
      </c>
      <c r="E73" s="17" t="n">
        <v>174002.311</v>
      </c>
      <c r="F73" s="17" t="n">
        <v>538990.96</v>
      </c>
      <c r="G73" s="18" t="n">
        <v>45946.5308796296</v>
      </c>
      <c r="H73" s="19" t="n">
        <v>2.62</v>
      </c>
      <c r="I73" s="19" t="n">
        <v>1.5</v>
      </c>
      <c r="J73" s="19" t="s">
        <v>92</v>
      </c>
      <c r="K73" s="20" t="n">
        <v>0</v>
      </c>
      <c r="L73" s="20" t="n">
        <v>0.3</v>
      </c>
      <c r="M73" s="20" t="n">
        <v>1</v>
      </c>
      <c r="N73" s="20" t="s">
        <v>92</v>
      </c>
      <c r="O73" s="20" t="s">
        <v>101</v>
      </c>
      <c r="P73" s="20" t="s">
        <v>101</v>
      </c>
      <c r="Q73" s="20" t="s">
        <v>101</v>
      </c>
      <c r="R73" s="20" t="s">
        <v>101</v>
      </c>
      <c r="S73" s="20" t="s">
        <v>101</v>
      </c>
      <c r="T73" s="20" t="s">
        <v>100</v>
      </c>
      <c r="U73" s="20" t="s">
        <v>100</v>
      </c>
      <c r="V73" s="20" t="s">
        <v>100</v>
      </c>
      <c r="W73" s="20" t="s">
        <v>100</v>
      </c>
      <c r="X73" s="20" t="s">
        <v>100</v>
      </c>
      <c r="Y73" s="20" t="s">
        <v>92</v>
      </c>
      <c r="Z73" s="20" t="s">
        <v>95</v>
      </c>
      <c r="AA73" s="20" t="s">
        <v>92</v>
      </c>
      <c r="AB73" s="20" t="s">
        <v>92</v>
      </c>
      <c r="AC73" s="20" t="s">
        <v>92</v>
      </c>
      <c r="AD73" s="20" t="s">
        <v>96</v>
      </c>
      <c r="AE73" s="20" t="s">
        <v>125</v>
      </c>
      <c r="AF73" s="21"/>
    </row>
    <row r="74" customFormat="false" ht="13.5" hidden="false" customHeight="false" outlineLevel="0" collapsed="false">
      <c r="A74" s="2" t="s">
        <v>119</v>
      </c>
      <c r="B74" s="2" t="n">
        <v>70</v>
      </c>
      <c r="C74" s="17" t="n">
        <v>137000</v>
      </c>
      <c r="D74" s="17" t="n">
        <v>535000</v>
      </c>
      <c r="E74" s="17" t="n">
        <v>136992.294</v>
      </c>
      <c r="F74" s="17" t="n">
        <v>534995.119</v>
      </c>
      <c r="G74" s="18" t="n">
        <v>45950.6261226852</v>
      </c>
      <c r="H74" s="19" t="n">
        <v>4.5</v>
      </c>
      <c r="I74" s="19" t="s">
        <v>92</v>
      </c>
      <c r="J74" s="19" t="s">
        <v>92</v>
      </c>
      <c r="K74" s="20" t="n">
        <v>0</v>
      </c>
      <c r="L74" s="20" t="s">
        <v>92</v>
      </c>
      <c r="M74" s="20" t="s">
        <v>92</v>
      </c>
      <c r="N74" s="20" t="s">
        <v>92</v>
      </c>
      <c r="O74" s="20" t="s">
        <v>101</v>
      </c>
      <c r="P74" s="20" t="s">
        <v>101</v>
      </c>
      <c r="Q74" s="20" t="s">
        <v>101</v>
      </c>
      <c r="R74" s="20" t="s">
        <v>101</v>
      </c>
      <c r="S74" s="20" t="s">
        <v>101</v>
      </c>
      <c r="T74" s="20" t="s">
        <v>102</v>
      </c>
      <c r="U74" s="20" t="s">
        <v>102</v>
      </c>
      <c r="V74" s="20" t="s">
        <v>102</v>
      </c>
      <c r="W74" s="20" t="s">
        <v>102</v>
      </c>
      <c r="X74" s="20" t="s">
        <v>102</v>
      </c>
      <c r="Y74" s="20" t="s">
        <v>92</v>
      </c>
      <c r="Z74" s="20" t="s">
        <v>92</v>
      </c>
      <c r="AA74" s="20" t="s">
        <v>92</v>
      </c>
      <c r="AB74" s="20" t="s">
        <v>92</v>
      </c>
      <c r="AC74" s="20" t="s">
        <v>92</v>
      </c>
      <c r="AD74" s="20" t="s">
        <v>96</v>
      </c>
      <c r="AE74" s="20" t="s">
        <v>120</v>
      </c>
      <c r="AF74" s="21"/>
    </row>
    <row r="75" customFormat="false" ht="13.5" hidden="false" customHeight="false" outlineLevel="0" collapsed="false">
      <c r="A75" s="2" t="s">
        <v>119</v>
      </c>
      <c r="B75" s="2" t="n">
        <v>71</v>
      </c>
      <c r="C75" s="17" t="n">
        <v>141000</v>
      </c>
      <c r="D75" s="17" t="n">
        <v>535000</v>
      </c>
      <c r="E75" s="17" t="n">
        <v>141003.548</v>
      </c>
      <c r="F75" s="17" t="n">
        <v>535003.318</v>
      </c>
      <c r="G75" s="18" t="n">
        <v>45945.4733101852</v>
      </c>
      <c r="H75" s="19" t="n">
        <v>5.16</v>
      </c>
      <c r="I75" s="19" t="s">
        <v>92</v>
      </c>
      <c r="J75" s="19" t="s">
        <v>92</v>
      </c>
      <c r="K75" s="20" t="n">
        <v>0</v>
      </c>
      <c r="L75" s="20" t="s">
        <v>92</v>
      </c>
      <c r="M75" s="20" t="s">
        <v>92</v>
      </c>
      <c r="N75" s="20" t="s">
        <v>92</v>
      </c>
      <c r="O75" s="20" t="s">
        <v>126</v>
      </c>
      <c r="P75" s="20" t="s">
        <v>126</v>
      </c>
      <c r="Q75" s="20" t="s">
        <v>126</v>
      </c>
      <c r="R75" s="20" t="s">
        <v>126</v>
      </c>
      <c r="S75" s="20" t="s">
        <v>101</v>
      </c>
      <c r="T75" s="20" t="s">
        <v>100</v>
      </c>
      <c r="U75" s="20" t="s">
        <v>100</v>
      </c>
      <c r="V75" s="20" t="s">
        <v>100</v>
      </c>
      <c r="W75" s="20" t="s">
        <v>100</v>
      </c>
      <c r="X75" s="20" t="s">
        <v>102</v>
      </c>
      <c r="Y75" s="20" t="s">
        <v>92</v>
      </c>
      <c r="Z75" s="20" t="s">
        <v>92</v>
      </c>
      <c r="AA75" s="20" t="s">
        <v>92</v>
      </c>
      <c r="AB75" s="20" t="s">
        <v>92</v>
      </c>
      <c r="AC75" s="20" t="s">
        <v>92</v>
      </c>
      <c r="AD75" s="20" t="s">
        <v>96</v>
      </c>
      <c r="AE75" s="20" t="s">
        <v>127</v>
      </c>
      <c r="AF75" s="21"/>
    </row>
    <row r="76" customFormat="false" ht="13.5" hidden="false" customHeight="false" outlineLevel="0" collapsed="false">
      <c r="A76" s="2" t="s">
        <v>119</v>
      </c>
      <c r="B76" s="2" t="n">
        <v>72</v>
      </c>
      <c r="C76" s="17" t="n">
        <v>145000</v>
      </c>
      <c r="D76" s="17" t="n">
        <v>535000</v>
      </c>
      <c r="E76" s="17" t="n">
        <v>145012.868</v>
      </c>
      <c r="F76" s="17" t="n">
        <v>535007.034</v>
      </c>
      <c r="G76" s="18" t="n">
        <v>45945.5098958333</v>
      </c>
      <c r="H76" s="19" t="n">
        <v>3.46</v>
      </c>
      <c r="I76" s="19" t="n">
        <v>4</v>
      </c>
      <c r="J76" s="19" t="n">
        <v>76</v>
      </c>
      <c r="K76" s="20" t="n">
        <v>0</v>
      </c>
      <c r="L76" s="20" t="n">
        <v>0.1</v>
      </c>
      <c r="M76" s="20" t="n">
        <v>1</v>
      </c>
      <c r="N76" s="20" t="s">
        <v>92</v>
      </c>
      <c r="O76" s="20" t="s">
        <v>93</v>
      </c>
      <c r="P76" s="20" t="s">
        <v>93</v>
      </c>
      <c r="Q76" s="20" t="s">
        <v>93</v>
      </c>
      <c r="R76" s="20" t="s">
        <v>93</v>
      </c>
      <c r="S76" s="20" t="s">
        <v>93</v>
      </c>
      <c r="T76" s="20" t="s">
        <v>128</v>
      </c>
      <c r="U76" s="20" t="s">
        <v>128</v>
      </c>
      <c r="V76" s="20" t="s">
        <v>128</v>
      </c>
      <c r="W76" s="20" t="s">
        <v>128</v>
      </c>
      <c r="X76" s="20" t="s">
        <v>128</v>
      </c>
      <c r="Y76" s="20" t="s">
        <v>95</v>
      </c>
      <c r="Z76" s="20" t="s">
        <v>95</v>
      </c>
      <c r="AA76" s="20" t="s">
        <v>95</v>
      </c>
      <c r="AB76" s="20" t="s">
        <v>95</v>
      </c>
      <c r="AC76" s="20" t="s">
        <v>95</v>
      </c>
      <c r="AD76" s="20" t="s">
        <v>109</v>
      </c>
      <c r="AE76" s="20" t="s">
        <v>127</v>
      </c>
      <c r="AF76" s="21"/>
    </row>
    <row r="77" customFormat="false" ht="13.5" hidden="false" customHeight="false" outlineLevel="0" collapsed="false">
      <c r="A77" s="2" t="s">
        <v>119</v>
      </c>
      <c r="B77" s="2" t="n">
        <v>73</v>
      </c>
      <c r="C77" s="17" t="n">
        <v>149000</v>
      </c>
      <c r="D77" s="17" t="n">
        <v>535000</v>
      </c>
      <c r="E77" s="17" t="n">
        <v>148997.267</v>
      </c>
      <c r="F77" s="17" t="n">
        <v>534998.056</v>
      </c>
      <c r="G77" s="18" t="n">
        <v>45950.528287037</v>
      </c>
      <c r="H77" s="19" t="n">
        <v>5.82</v>
      </c>
      <c r="I77" s="19" t="s">
        <v>92</v>
      </c>
      <c r="J77" s="19" t="s">
        <v>92</v>
      </c>
      <c r="K77" s="20" t="n">
        <v>0</v>
      </c>
      <c r="L77" s="20" t="s">
        <v>92</v>
      </c>
      <c r="M77" s="20" t="s">
        <v>92</v>
      </c>
      <c r="N77" s="20" t="s">
        <v>92</v>
      </c>
      <c r="O77" s="20" t="s">
        <v>101</v>
      </c>
      <c r="P77" s="20" t="s">
        <v>101</v>
      </c>
      <c r="Q77" s="20" t="s">
        <v>101</v>
      </c>
      <c r="R77" s="20" t="s">
        <v>101</v>
      </c>
      <c r="S77" s="20" t="s">
        <v>101</v>
      </c>
      <c r="T77" s="20" t="s">
        <v>102</v>
      </c>
      <c r="U77" s="20" t="s">
        <v>102</v>
      </c>
      <c r="V77" s="20" t="s">
        <v>102</v>
      </c>
      <c r="W77" s="20" t="s">
        <v>102</v>
      </c>
      <c r="X77" s="20" t="s">
        <v>102</v>
      </c>
      <c r="Y77" s="20" t="s">
        <v>92</v>
      </c>
      <c r="Z77" s="20" t="s">
        <v>92</v>
      </c>
      <c r="AA77" s="20" t="s">
        <v>92</v>
      </c>
      <c r="AB77" s="20" t="s">
        <v>92</v>
      </c>
      <c r="AC77" s="20" t="s">
        <v>92</v>
      </c>
      <c r="AD77" s="20" t="s">
        <v>96</v>
      </c>
      <c r="AE77" s="20" t="s">
        <v>120</v>
      </c>
      <c r="AF77" s="21"/>
    </row>
    <row r="78" customFormat="false" ht="13.5" hidden="false" customHeight="false" outlineLevel="0" collapsed="false">
      <c r="A78" s="2" t="s">
        <v>119</v>
      </c>
      <c r="B78" s="22" t="n">
        <v>74</v>
      </c>
      <c r="C78" s="23" t="n">
        <v>153000</v>
      </c>
      <c r="D78" s="23" t="n">
        <v>535000</v>
      </c>
      <c r="E78" s="17" t="n">
        <v>152999.481</v>
      </c>
      <c r="F78" s="17" t="n">
        <v>535003.791</v>
      </c>
      <c r="G78" s="24" t="n">
        <v>45950.4963310185</v>
      </c>
      <c r="H78" s="25" t="n">
        <v>5.42</v>
      </c>
      <c r="I78" s="25" t="s">
        <v>92</v>
      </c>
      <c r="J78" s="25" t="s">
        <v>92</v>
      </c>
      <c r="K78" s="20" t="n">
        <v>0</v>
      </c>
      <c r="L78" s="20" t="s">
        <v>92</v>
      </c>
      <c r="M78" s="20" t="s">
        <v>92</v>
      </c>
      <c r="N78" s="20" t="s">
        <v>92</v>
      </c>
      <c r="O78" s="16" t="s">
        <v>101</v>
      </c>
      <c r="P78" s="16" t="s">
        <v>101</v>
      </c>
      <c r="Q78" s="16" t="s">
        <v>101</v>
      </c>
      <c r="R78" s="16" t="s">
        <v>101</v>
      </c>
      <c r="S78" s="16" t="s">
        <v>101</v>
      </c>
      <c r="T78" s="16" t="s">
        <v>102</v>
      </c>
      <c r="U78" s="16" t="s">
        <v>102</v>
      </c>
      <c r="V78" s="16" t="s">
        <v>102</v>
      </c>
      <c r="W78" s="16" t="s">
        <v>102</v>
      </c>
      <c r="X78" s="16" t="s">
        <v>102</v>
      </c>
      <c r="Y78" s="16" t="s">
        <v>92</v>
      </c>
      <c r="Z78" s="16" t="s">
        <v>92</v>
      </c>
      <c r="AA78" s="16" t="s">
        <v>92</v>
      </c>
      <c r="AB78" s="16" t="s">
        <v>92</v>
      </c>
      <c r="AC78" s="16" t="s">
        <v>92</v>
      </c>
      <c r="AD78" s="16" t="s">
        <v>96</v>
      </c>
      <c r="AE78" s="16" t="s">
        <v>120</v>
      </c>
      <c r="AF78" s="26"/>
    </row>
    <row r="79" customFormat="false" ht="13.5" hidden="false" customHeight="false" outlineLevel="0" collapsed="false">
      <c r="A79" s="2" t="s">
        <v>119</v>
      </c>
      <c r="B79" s="2" t="n">
        <v>75</v>
      </c>
      <c r="C79" s="17" t="n">
        <v>157000</v>
      </c>
      <c r="D79" s="17" t="n">
        <v>535000</v>
      </c>
      <c r="E79" s="17" t="n">
        <v>157011.462</v>
      </c>
      <c r="F79" s="17" t="n">
        <v>535006.364</v>
      </c>
      <c r="G79" s="18" t="n">
        <v>45950.4061805556</v>
      </c>
      <c r="H79" s="19" t="n">
        <v>3.32</v>
      </c>
      <c r="I79" s="19" t="n">
        <v>1</v>
      </c>
      <c r="J79" s="19" t="n">
        <v>5.5</v>
      </c>
      <c r="K79" s="20" t="n">
        <v>0</v>
      </c>
      <c r="L79" s="20" t="s">
        <v>92</v>
      </c>
      <c r="M79" s="20" t="s">
        <v>92</v>
      </c>
      <c r="N79" s="20" t="s">
        <v>92</v>
      </c>
      <c r="O79" s="20" t="s">
        <v>93</v>
      </c>
      <c r="P79" s="20" t="s">
        <v>93</v>
      </c>
      <c r="Q79" s="20" t="s">
        <v>93</v>
      </c>
      <c r="R79" s="20" t="s">
        <v>93</v>
      </c>
      <c r="S79" s="20" t="s">
        <v>93</v>
      </c>
      <c r="T79" s="20" t="s">
        <v>105</v>
      </c>
      <c r="U79" s="20" t="s">
        <v>105</v>
      </c>
      <c r="V79" s="20" t="s">
        <v>105</v>
      </c>
      <c r="W79" s="20" t="s">
        <v>105</v>
      </c>
      <c r="X79" s="20" t="s">
        <v>105</v>
      </c>
      <c r="Y79" s="20" t="s">
        <v>95</v>
      </c>
      <c r="Z79" s="20" t="s">
        <v>95</v>
      </c>
      <c r="AA79" s="20" t="s">
        <v>93</v>
      </c>
      <c r="AB79" s="20" t="s">
        <v>93</v>
      </c>
      <c r="AC79" s="20" t="s">
        <v>92</v>
      </c>
      <c r="AD79" s="20" t="s">
        <v>96</v>
      </c>
      <c r="AE79" s="20" t="s">
        <v>120</v>
      </c>
      <c r="AF79" s="21"/>
    </row>
    <row r="80" customFormat="false" ht="13.5" hidden="false" customHeight="false" outlineLevel="0" collapsed="false">
      <c r="A80" s="2" t="s">
        <v>119</v>
      </c>
      <c r="B80" s="2" t="n">
        <v>76</v>
      </c>
      <c r="C80" s="17" t="n">
        <v>161000</v>
      </c>
      <c r="D80" s="17" t="n">
        <v>535000</v>
      </c>
      <c r="E80" s="17" t="n">
        <v>160997.577</v>
      </c>
      <c r="F80" s="17" t="n">
        <v>534983.5</v>
      </c>
      <c r="G80" s="18" t="n">
        <v>45946.6117939815</v>
      </c>
      <c r="H80" s="19" t="n">
        <v>4.1</v>
      </c>
      <c r="I80" s="19" t="n">
        <v>4.5</v>
      </c>
      <c r="J80" s="19" t="n">
        <v>20</v>
      </c>
      <c r="K80" s="20" t="n">
        <v>0</v>
      </c>
      <c r="L80" s="20" t="s">
        <v>92</v>
      </c>
      <c r="M80" s="20" t="s">
        <v>92</v>
      </c>
      <c r="N80" s="20" t="s">
        <v>92</v>
      </c>
      <c r="O80" s="20" t="s">
        <v>93</v>
      </c>
      <c r="P80" s="20" t="s">
        <v>93</v>
      </c>
      <c r="Q80" s="20" t="s">
        <v>93</v>
      </c>
      <c r="R80" s="20" t="s">
        <v>93</v>
      </c>
      <c r="S80" s="20" t="s">
        <v>93</v>
      </c>
      <c r="T80" s="20" t="s">
        <v>99</v>
      </c>
      <c r="U80" s="20" t="s">
        <v>99</v>
      </c>
      <c r="V80" s="20" t="s">
        <v>99</v>
      </c>
      <c r="W80" s="20" t="s">
        <v>99</v>
      </c>
      <c r="X80" s="20" t="s">
        <v>99</v>
      </c>
      <c r="Y80" s="20" t="s">
        <v>95</v>
      </c>
      <c r="Z80" s="20" t="s">
        <v>117</v>
      </c>
      <c r="AA80" s="20" t="s">
        <v>95</v>
      </c>
      <c r="AB80" s="20" t="s">
        <v>95</v>
      </c>
      <c r="AC80" s="20" t="s">
        <v>117</v>
      </c>
      <c r="AD80" s="20" t="s">
        <v>96</v>
      </c>
      <c r="AE80" s="20" t="s">
        <v>125</v>
      </c>
      <c r="AF80" s="21"/>
    </row>
    <row r="81" customFormat="false" ht="13.5" hidden="false" customHeight="false" outlineLevel="0" collapsed="false">
      <c r="A81" s="2" t="s">
        <v>119</v>
      </c>
      <c r="B81" s="2" t="n">
        <v>77</v>
      </c>
      <c r="C81" s="17" t="n">
        <v>165000</v>
      </c>
      <c r="D81" s="17" t="n">
        <v>535000</v>
      </c>
      <c r="E81" s="17" t="n">
        <v>164998.996</v>
      </c>
      <c r="F81" s="17" t="n">
        <v>534985.739</v>
      </c>
      <c r="G81" s="18" t="n">
        <v>45946.5790740741</v>
      </c>
      <c r="H81" s="19" t="n">
        <v>4.2</v>
      </c>
      <c r="I81" s="19" t="n">
        <v>4.5</v>
      </c>
      <c r="J81" s="19" t="n">
        <v>9</v>
      </c>
      <c r="K81" s="20" t="n">
        <v>0</v>
      </c>
      <c r="L81" s="20" t="n">
        <v>1</v>
      </c>
      <c r="M81" s="20" t="n">
        <v>1</v>
      </c>
      <c r="N81" s="20" t="s">
        <v>92</v>
      </c>
      <c r="O81" s="20" t="s">
        <v>93</v>
      </c>
      <c r="P81" s="20" t="s">
        <v>93</v>
      </c>
      <c r="Q81" s="20" t="s">
        <v>93</v>
      </c>
      <c r="R81" s="20" t="s">
        <v>93</v>
      </c>
      <c r="S81" s="20" t="s">
        <v>93</v>
      </c>
      <c r="T81" s="20" t="s">
        <v>99</v>
      </c>
      <c r="U81" s="20" t="s">
        <v>99</v>
      </c>
      <c r="V81" s="20" t="s">
        <v>99</v>
      </c>
      <c r="W81" s="20" t="s">
        <v>99</v>
      </c>
      <c r="X81" s="20" t="s">
        <v>99</v>
      </c>
      <c r="Y81" s="20" t="s">
        <v>121</v>
      </c>
      <c r="Z81" s="20" t="s">
        <v>95</v>
      </c>
      <c r="AA81" s="20" t="s">
        <v>95</v>
      </c>
      <c r="AB81" s="20" t="s">
        <v>95</v>
      </c>
      <c r="AC81" s="20" t="s">
        <v>95</v>
      </c>
      <c r="AD81" s="20" t="s">
        <v>96</v>
      </c>
      <c r="AE81" s="20" t="s">
        <v>125</v>
      </c>
      <c r="AF81" s="21"/>
    </row>
    <row r="82" customFormat="false" ht="13.5" hidden="false" customHeight="false" outlineLevel="0" collapsed="false">
      <c r="A82" s="2" t="s">
        <v>119</v>
      </c>
      <c r="B82" s="2" t="n">
        <v>78</v>
      </c>
      <c r="C82" s="17" t="n">
        <v>169000</v>
      </c>
      <c r="D82" s="17" t="n">
        <v>535000</v>
      </c>
      <c r="E82" s="17" t="n">
        <v>169006.178</v>
      </c>
      <c r="F82" s="17" t="n">
        <v>535004.745</v>
      </c>
      <c r="G82" s="18" t="n">
        <v>45946.492962963</v>
      </c>
      <c r="H82" s="19" t="n">
        <v>3.7</v>
      </c>
      <c r="I82" s="19" t="n">
        <v>10</v>
      </c>
      <c r="J82" s="19" t="n">
        <v>119</v>
      </c>
      <c r="K82" s="20" t="n">
        <v>0</v>
      </c>
      <c r="L82" s="20" t="s">
        <v>92</v>
      </c>
      <c r="M82" s="20" t="s">
        <v>92</v>
      </c>
      <c r="N82" s="20" t="s">
        <v>92</v>
      </c>
      <c r="O82" s="20" t="s">
        <v>93</v>
      </c>
      <c r="P82" s="20" t="s">
        <v>93</v>
      </c>
      <c r="Q82" s="20" t="s">
        <v>93</v>
      </c>
      <c r="R82" s="20" t="s">
        <v>110</v>
      </c>
      <c r="S82" s="20" t="s">
        <v>110</v>
      </c>
      <c r="T82" s="20" t="s">
        <v>99</v>
      </c>
      <c r="U82" s="20" t="s">
        <v>99</v>
      </c>
      <c r="V82" s="20" t="s">
        <v>99</v>
      </c>
      <c r="W82" s="20" t="s">
        <v>99</v>
      </c>
      <c r="X82" s="20" t="s">
        <v>99</v>
      </c>
      <c r="Y82" s="20" t="s">
        <v>95</v>
      </c>
      <c r="Z82" s="20" t="s">
        <v>95</v>
      </c>
      <c r="AA82" s="20" t="s">
        <v>95</v>
      </c>
      <c r="AB82" s="20" t="s">
        <v>117</v>
      </c>
      <c r="AC82" s="20" t="s">
        <v>95</v>
      </c>
      <c r="AD82" s="20" t="s">
        <v>96</v>
      </c>
      <c r="AE82" s="20" t="s">
        <v>125</v>
      </c>
      <c r="AF82" s="21"/>
    </row>
    <row r="83" customFormat="false" ht="13.5" hidden="false" customHeight="false" outlineLevel="0" collapsed="false">
      <c r="A83" s="2" t="s">
        <v>119</v>
      </c>
      <c r="B83" s="2" t="n">
        <v>79</v>
      </c>
      <c r="C83" s="17" t="n">
        <v>139000</v>
      </c>
      <c r="D83" s="17" t="n">
        <v>533000</v>
      </c>
      <c r="E83" s="17" t="n">
        <v>138998.105</v>
      </c>
      <c r="F83" s="17" t="n">
        <v>532998.385</v>
      </c>
      <c r="G83" s="18" t="n">
        <v>45945.4559143519</v>
      </c>
      <c r="H83" s="19" t="n">
        <v>4.78</v>
      </c>
      <c r="I83" s="19" t="s">
        <v>92</v>
      </c>
      <c r="J83" s="19" t="s">
        <v>92</v>
      </c>
      <c r="K83" s="20" t="n">
        <v>0</v>
      </c>
      <c r="L83" s="20" t="s">
        <v>92</v>
      </c>
      <c r="M83" s="20" t="s">
        <v>92</v>
      </c>
      <c r="N83" s="20" t="s">
        <v>92</v>
      </c>
      <c r="O83" s="20" t="s">
        <v>98</v>
      </c>
      <c r="P83" s="20" t="s">
        <v>98</v>
      </c>
      <c r="Q83" s="20" t="s">
        <v>129</v>
      </c>
      <c r="R83" s="20" t="s">
        <v>129</v>
      </c>
      <c r="S83" s="20" t="s">
        <v>101</v>
      </c>
      <c r="T83" s="20" t="s">
        <v>100</v>
      </c>
      <c r="U83" s="20" t="s">
        <v>100</v>
      </c>
      <c r="V83" s="20" t="s">
        <v>102</v>
      </c>
      <c r="W83" s="20" t="s">
        <v>102</v>
      </c>
      <c r="X83" s="20" t="s">
        <v>100</v>
      </c>
      <c r="Y83" s="20" t="s">
        <v>92</v>
      </c>
      <c r="Z83" s="20" t="s">
        <v>92</v>
      </c>
      <c r="AA83" s="20" t="s">
        <v>92</v>
      </c>
      <c r="AB83" s="20" t="s">
        <v>92</v>
      </c>
      <c r="AC83" s="20" t="s">
        <v>92</v>
      </c>
      <c r="AD83" s="20" t="s">
        <v>96</v>
      </c>
      <c r="AE83" s="20" t="s">
        <v>127</v>
      </c>
      <c r="AF83" s="21"/>
    </row>
    <row r="84" customFormat="false" ht="13.5" hidden="false" customHeight="false" outlineLevel="0" collapsed="false">
      <c r="A84" s="2" t="s">
        <v>119</v>
      </c>
      <c r="B84" s="2" t="n">
        <v>80</v>
      </c>
      <c r="C84" s="17" t="n">
        <v>143000</v>
      </c>
      <c r="D84" s="17" t="n">
        <v>533000</v>
      </c>
      <c r="E84" s="17" t="n">
        <v>143003.67</v>
      </c>
      <c r="F84" s="17" t="n">
        <v>532994.012</v>
      </c>
      <c r="G84" s="18" t="n">
        <v>45945.4897569444</v>
      </c>
      <c r="H84" s="19" t="n">
        <v>5.56</v>
      </c>
      <c r="I84" s="19" t="s">
        <v>92</v>
      </c>
      <c r="J84" s="19" t="s">
        <v>92</v>
      </c>
      <c r="K84" s="20" t="n">
        <v>0</v>
      </c>
      <c r="L84" s="20" t="s">
        <v>92</v>
      </c>
      <c r="M84" s="20" t="s">
        <v>92</v>
      </c>
      <c r="N84" s="20" t="s">
        <v>92</v>
      </c>
      <c r="O84" s="20" t="s">
        <v>101</v>
      </c>
      <c r="P84" s="20" t="s">
        <v>101</v>
      </c>
      <c r="Q84" s="20" t="s">
        <v>101</v>
      </c>
      <c r="R84" s="20" t="s">
        <v>101</v>
      </c>
      <c r="S84" s="20" t="s">
        <v>101</v>
      </c>
      <c r="T84" s="20" t="s">
        <v>102</v>
      </c>
      <c r="U84" s="20" t="s">
        <v>102</v>
      </c>
      <c r="V84" s="20" t="s">
        <v>102</v>
      </c>
      <c r="W84" s="20" t="s">
        <v>102</v>
      </c>
      <c r="X84" s="20" t="s">
        <v>102</v>
      </c>
      <c r="Y84" s="20" t="s">
        <v>92</v>
      </c>
      <c r="Z84" s="20" t="s">
        <v>92</v>
      </c>
      <c r="AA84" s="20" t="s">
        <v>92</v>
      </c>
      <c r="AB84" s="20" t="s">
        <v>92</v>
      </c>
      <c r="AC84" s="20" t="s">
        <v>92</v>
      </c>
      <c r="AD84" s="20" t="s">
        <v>96</v>
      </c>
      <c r="AE84" s="20" t="s">
        <v>127</v>
      </c>
      <c r="AF84" s="21"/>
    </row>
    <row r="85" customFormat="false" ht="13.5" hidden="false" customHeight="false" outlineLevel="0" collapsed="false">
      <c r="A85" s="2" t="s">
        <v>119</v>
      </c>
      <c r="B85" s="2" t="n">
        <v>81</v>
      </c>
      <c r="C85" s="17" t="n">
        <v>147000</v>
      </c>
      <c r="D85" s="17" t="n">
        <v>533000</v>
      </c>
      <c r="E85" s="17" t="n">
        <v>147005.597</v>
      </c>
      <c r="F85" s="17" t="n">
        <v>532999.836</v>
      </c>
      <c r="G85" s="18" t="n">
        <v>45945.5285416667</v>
      </c>
      <c r="H85" s="19" t="n">
        <v>4.36</v>
      </c>
      <c r="I85" s="19" t="n">
        <v>2.5</v>
      </c>
      <c r="J85" s="19" t="n">
        <v>11</v>
      </c>
      <c r="K85" s="20" t="n">
        <v>0</v>
      </c>
      <c r="L85" s="20" t="s">
        <v>92</v>
      </c>
      <c r="M85" s="20" t="s">
        <v>92</v>
      </c>
      <c r="N85" s="20" t="s">
        <v>92</v>
      </c>
      <c r="O85" s="20" t="s">
        <v>110</v>
      </c>
      <c r="P85" s="20" t="s">
        <v>98</v>
      </c>
      <c r="Q85" s="20" t="s">
        <v>93</v>
      </c>
      <c r="R85" s="20" t="s">
        <v>93</v>
      </c>
      <c r="S85" s="20" t="s">
        <v>93</v>
      </c>
      <c r="T85" s="20" t="s">
        <v>105</v>
      </c>
      <c r="U85" s="20" t="s">
        <v>100</v>
      </c>
      <c r="V85" s="20" t="s">
        <v>99</v>
      </c>
      <c r="W85" s="20" t="s">
        <v>99</v>
      </c>
      <c r="X85" s="20" t="s">
        <v>99</v>
      </c>
      <c r="Y85" s="20" t="s">
        <v>95</v>
      </c>
      <c r="Z85" s="20" t="s">
        <v>95</v>
      </c>
      <c r="AA85" s="20" t="s">
        <v>95</v>
      </c>
      <c r="AB85" s="20" t="s">
        <v>95</v>
      </c>
      <c r="AC85" s="20" t="s">
        <v>95</v>
      </c>
      <c r="AD85" s="20" t="s">
        <v>96</v>
      </c>
      <c r="AE85" s="20" t="s">
        <v>127</v>
      </c>
      <c r="AF85" s="21"/>
    </row>
    <row r="86" customFormat="false" ht="13.5" hidden="false" customHeight="false" outlineLevel="0" collapsed="false">
      <c r="A86" s="2" t="s">
        <v>119</v>
      </c>
      <c r="B86" s="2" t="n">
        <v>82</v>
      </c>
      <c r="C86" s="17" t="n">
        <v>151000</v>
      </c>
      <c r="D86" s="17" t="n">
        <v>533000</v>
      </c>
      <c r="E86" s="17" t="n">
        <v>151022.476</v>
      </c>
      <c r="F86" s="17" t="n">
        <v>533001.143</v>
      </c>
      <c r="G86" s="18" t="n">
        <v>45950.5117013889</v>
      </c>
      <c r="H86" s="19" t="n">
        <v>5.62</v>
      </c>
      <c r="I86" s="19" t="s">
        <v>92</v>
      </c>
      <c r="J86" s="19" t="s">
        <v>92</v>
      </c>
      <c r="K86" s="20" t="n">
        <v>0</v>
      </c>
      <c r="L86" s="20" t="s">
        <v>92</v>
      </c>
      <c r="M86" s="20" t="s">
        <v>92</v>
      </c>
      <c r="N86" s="20" t="s">
        <v>92</v>
      </c>
      <c r="O86" s="20" t="s">
        <v>101</v>
      </c>
      <c r="P86" s="20" t="s">
        <v>101</v>
      </c>
      <c r="Q86" s="20" t="s">
        <v>101</v>
      </c>
      <c r="R86" s="20" t="s">
        <v>101</v>
      </c>
      <c r="S86" s="20" t="s">
        <v>101</v>
      </c>
      <c r="T86" s="20" t="s">
        <v>102</v>
      </c>
      <c r="U86" s="20" t="s">
        <v>102</v>
      </c>
      <c r="V86" s="20" t="s">
        <v>102</v>
      </c>
      <c r="W86" s="20" t="s">
        <v>102</v>
      </c>
      <c r="X86" s="20" t="s">
        <v>102</v>
      </c>
      <c r="Y86" s="20" t="s">
        <v>92</v>
      </c>
      <c r="Z86" s="20" t="s">
        <v>92</v>
      </c>
      <c r="AA86" s="20" t="s">
        <v>92</v>
      </c>
      <c r="AB86" s="20" t="s">
        <v>92</v>
      </c>
      <c r="AC86" s="20" t="s">
        <v>92</v>
      </c>
      <c r="AD86" s="20" t="s">
        <v>96</v>
      </c>
      <c r="AE86" s="20" t="s">
        <v>120</v>
      </c>
      <c r="AF86" s="21"/>
    </row>
    <row r="87" customFormat="false" ht="13.5" hidden="false" customHeight="false" outlineLevel="0" collapsed="false">
      <c r="A87" s="2" t="s">
        <v>119</v>
      </c>
      <c r="B87" s="2" t="n">
        <v>83</v>
      </c>
      <c r="C87" s="17" t="n">
        <v>155000</v>
      </c>
      <c r="D87" s="17" t="n">
        <v>533000</v>
      </c>
      <c r="E87" s="17" t="n">
        <v>154980.718</v>
      </c>
      <c r="F87" s="17" t="n">
        <v>532998.751</v>
      </c>
      <c r="G87" s="18" t="n">
        <v>45950.3853819444</v>
      </c>
      <c r="H87" s="19" t="n">
        <v>4.24</v>
      </c>
      <c r="I87" s="19" t="n">
        <v>5</v>
      </c>
      <c r="J87" s="19" t="n">
        <v>6</v>
      </c>
      <c r="K87" s="20" t="n">
        <v>0</v>
      </c>
      <c r="L87" s="20" t="n">
        <v>1</v>
      </c>
      <c r="M87" s="20" t="n">
        <v>1</v>
      </c>
      <c r="N87" s="20" t="s">
        <v>92</v>
      </c>
      <c r="O87" s="20" t="s">
        <v>93</v>
      </c>
      <c r="P87" s="20" t="s">
        <v>93</v>
      </c>
      <c r="Q87" s="20" t="s">
        <v>93</v>
      </c>
      <c r="R87" s="20" t="s">
        <v>93</v>
      </c>
      <c r="S87" s="20" t="s">
        <v>93</v>
      </c>
      <c r="T87" s="20" t="s">
        <v>105</v>
      </c>
      <c r="U87" s="20" t="s">
        <v>105</v>
      </c>
      <c r="V87" s="20" t="s">
        <v>105</v>
      </c>
      <c r="W87" s="20" t="s">
        <v>105</v>
      </c>
      <c r="X87" s="20" t="s">
        <v>105</v>
      </c>
      <c r="Y87" s="20" t="s">
        <v>92</v>
      </c>
      <c r="Z87" s="20" t="s">
        <v>95</v>
      </c>
      <c r="AA87" s="20" t="s">
        <v>92</v>
      </c>
      <c r="AB87" s="20" t="s">
        <v>93</v>
      </c>
      <c r="AC87" s="20" t="s">
        <v>95</v>
      </c>
      <c r="AD87" s="20" t="s">
        <v>96</v>
      </c>
      <c r="AE87" s="20" t="s">
        <v>120</v>
      </c>
      <c r="AF87" s="21"/>
    </row>
    <row r="88" customFormat="false" ht="13.5" hidden="false" customHeight="false" outlineLevel="0" collapsed="false">
      <c r="A88" s="2" t="s">
        <v>119</v>
      </c>
      <c r="B88" s="2" t="n">
        <v>84</v>
      </c>
      <c r="C88" s="17" t="n">
        <v>159000</v>
      </c>
      <c r="D88" s="17" t="n">
        <v>533000</v>
      </c>
      <c r="E88" s="17" t="n">
        <v>159005.884</v>
      </c>
      <c r="F88" s="17" t="n">
        <v>533005.636</v>
      </c>
      <c r="G88" s="18" t="n">
        <v>45946.6505439815</v>
      </c>
      <c r="H88" s="19" t="n">
        <v>4.56</v>
      </c>
      <c r="I88" s="19" t="n">
        <v>7</v>
      </c>
      <c r="J88" s="19" t="n">
        <v>86</v>
      </c>
      <c r="K88" s="20" t="n">
        <v>0</v>
      </c>
      <c r="L88" s="20" t="s">
        <v>92</v>
      </c>
      <c r="M88" s="20" t="s">
        <v>92</v>
      </c>
      <c r="N88" s="20" t="s">
        <v>92</v>
      </c>
      <c r="O88" s="20" t="s">
        <v>93</v>
      </c>
      <c r="P88" s="20" t="s">
        <v>93</v>
      </c>
      <c r="Q88" s="20" t="s">
        <v>93</v>
      </c>
      <c r="R88" s="20" t="s">
        <v>93</v>
      </c>
      <c r="S88" s="20" t="s">
        <v>93</v>
      </c>
      <c r="T88" s="20" t="s">
        <v>99</v>
      </c>
      <c r="U88" s="20" t="s">
        <v>99</v>
      </c>
      <c r="V88" s="20" t="s">
        <v>99</v>
      </c>
      <c r="W88" s="20" t="s">
        <v>99</v>
      </c>
      <c r="X88" s="20" t="s">
        <v>99</v>
      </c>
      <c r="Y88" s="20" t="s">
        <v>95</v>
      </c>
      <c r="Z88" s="20" t="s">
        <v>95</v>
      </c>
      <c r="AA88" s="20" t="s">
        <v>95</v>
      </c>
      <c r="AB88" s="20" t="s">
        <v>95</v>
      </c>
      <c r="AC88" s="20" t="s">
        <v>95</v>
      </c>
      <c r="AD88" s="20" t="s">
        <v>96</v>
      </c>
      <c r="AE88" s="20" t="s">
        <v>125</v>
      </c>
      <c r="AF88" s="21"/>
    </row>
    <row r="89" customFormat="false" ht="13.5" hidden="false" customHeight="false" outlineLevel="0" collapsed="false">
      <c r="A89" s="2" t="s">
        <v>119</v>
      </c>
      <c r="B89" s="2" t="n">
        <v>85</v>
      </c>
      <c r="C89" s="17" t="n">
        <v>163000</v>
      </c>
      <c r="D89" s="17" t="n">
        <v>533000</v>
      </c>
      <c r="E89" s="17" t="n">
        <v>163008.745</v>
      </c>
      <c r="F89" s="17" t="n">
        <v>532992.663</v>
      </c>
      <c r="G89" s="18" t="n">
        <v>45946.6290972222</v>
      </c>
      <c r="H89" s="19" t="n">
        <v>4.3</v>
      </c>
      <c r="I89" s="19" t="n">
        <v>7</v>
      </c>
      <c r="J89" s="19" t="n">
        <v>29</v>
      </c>
      <c r="K89" s="20" t="n">
        <v>0</v>
      </c>
      <c r="L89" s="20" t="s">
        <v>92</v>
      </c>
      <c r="M89" s="20" t="s">
        <v>92</v>
      </c>
      <c r="N89" s="20" t="s">
        <v>92</v>
      </c>
      <c r="O89" s="20" t="s">
        <v>93</v>
      </c>
      <c r="P89" s="20" t="s">
        <v>93</v>
      </c>
      <c r="Q89" s="20" t="s">
        <v>93</v>
      </c>
      <c r="R89" s="20" t="s">
        <v>93</v>
      </c>
      <c r="S89" s="20" t="s">
        <v>93</v>
      </c>
      <c r="T89" s="20" t="s">
        <v>99</v>
      </c>
      <c r="U89" s="20" t="s">
        <v>99</v>
      </c>
      <c r="V89" s="20" t="s">
        <v>99</v>
      </c>
      <c r="W89" s="20" t="s">
        <v>99</v>
      </c>
      <c r="X89" s="20" t="s">
        <v>99</v>
      </c>
      <c r="Y89" s="20" t="s">
        <v>95</v>
      </c>
      <c r="Z89" s="20" t="s">
        <v>117</v>
      </c>
      <c r="AA89" s="20" t="s">
        <v>95</v>
      </c>
      <c r="AB89" s="20" t="s">
        <v>117</v>
      </c>
      <c r="AC89" s="20" t="s">
        <v>117</v>
      </c>
      <c r="AD89" s="20" t="s">
        <v>96</v>
      </c>
      <c r="AE89" s="20" t="s">
        <v>125</v>
      </c>
      <c r="AF89" s="21"/>
    </row>
    <row r="90" customFormat="false" ht="13.5" hidden="false" customHeight="false" outlineLevel="0" collapsed="false">
      <c r="A90" s="2" t="s">
        <v>119</v>
      </c>
      <c r="B90" s="2" t="n">
        <v>86</v>
      </c>
      <c r="C90" s="17" t="n">
        <v>167000</v>
      </c>
      <c r="D90" s="17" t="n">
        <v>533000</v>
      </c>
      <c r="E90" s="17" t="n">
        <v>167000.504</v>
      </c>
      <c r="F90" s="17" t="n">
        <v>533008.766</v>
      </c>
      <c r="G90" s="18" t="n">
        <v>45946.4755208333</v>
      </c>
      <c r="H90" s="19" t="n">
        <v>4.2</v>
      </c>
      <c r="I90" s="19" t="n">
        <v>3</v>
      </c>
      <c r="J90" s="19" t="n">
        <v>44</v>
      </c>
      <c r="K90" s="20" t="n">
        <v>0</v>
      </c>
      <c r="L90" s="20" t="s">
        <v>92</v>
      </c>
      <c r="M90" s="20" t="s">
        <v>92</v>
      </c>
      <c r="N90" s="20" t="s">
        <v>92</v>
      </c>
      <c r="O90" s="20" t="s">
        <v>93</v>
      </c>
      <c r="P90" s="20" t="s">
        <v>93</v>
      </c>
      <c r="Q90" s="20" t="s">
        <v>93</v>
      </c>
      <c r="R90" s="20" t="s">
        <v>93</v>
      </c>
      <c r="S90" s="20" t="s">
        <v>93</v>
      </c>
      <c r="T90" s="20" t="s">
        <v>94</v>
      </c>
      <c r="U90" s="20" t="s">
        <v>94</v>
      </c>
      <c r="V90" s="20" t="s">
        <v>99</v>
      </c>
      <c r="W90" s="20" t="s">
        <v>94</v>
      </c>
      <c r="X90" s="20" t="s">
        <v>94</v>
      </c>
      <c r="Y90" s="20" t="s">
        <v>117</v>
      </c>
      <c r="Z90" s="20" t="s">
        <v>95</v>
      </c>
      <c r="AA90" s="20" t="s">
        <v>95</v>
      </c>
      <c r="AB90" s="20" t="s">
        <v>95</v>
      </c>
      <c r="AC90" s="20" t="s">
        <v>92</v>
      </c>
      <c r="AD90" s="20" t="s">
        <v>96</v>
      </c>
      <c r="AE90" s="20" t="s">
        <v>125</v>
      </c>
      <c r="AF90" s="21"/>
    </row>
    <row r="91" customFormat="false" ht="13.5" hidden="false" customHeight="false" outlineLevel="0" collapsed="false">
      <c r="A91" s="2" t="s">
        <v>119</v>
      </c>
      <c r="B91" s="2" t="n">
        <v>87</v>
      </c>
      <c r="C91" s="20" t="n">
        <v>137200</v>
      </c>
      <c r="D91" s="20" t="n">
        <v>531000</v>
      </c>
      <c r="E91" s="17" t="n">
        <v>137200.182</v>
      </c>
      <c r="F91" s="17" t="n">
        <v>531011.657</v>
      </c>
      <c r="G91" s="18" t="n">
        <v>45945.4393981482</v>
      </c>
      <c r="H91" s="19" t="n">
        <v>2.88</v>
      </c>
      <c r="I91" s="19" t="n">
        <v>8</v>
      </c>
      <c r="J91" s="19" t="n">
        <v>18</v>
      </c>
      <c r="K91" s="20" t="n">
        <v>0</v>
      </c>
      <c r="L91" s="20" t="n">
        <v>1</v>
      </c>
      <c r="M91" s="20" t="n">
        <v>1</v>
      </c>
      <c r="N91" s="20" t="s">
        <v>92</v>
      </c>
      <c r="O91" s="20" t="s">
        <v>115</v>
      </c>
      <c r="P91" s="20" t="s">
        <v>98</v>
      </c>
      <c r="Q91" s="20" t="s">
        <v>115</v>
      </c>
      <c r="R91" s="20" t="s">
        <v>98</v>
      </c>
      <c r="S91" s="20" t="s">
        <v>98</v>
      </c>
      <c r="T91" s="20" t="s">
        <v>130</v>
      </c>
      <c r="U91" s="20" t="s">
        <v>100</v>
      </c>
      <c r="V91" s="20" t="s">
        <v>130</v>
      </c>
      <c r="W91" s="20" t="s">
        <v>100</v>
      </c>
      <c r="X91" s="20" t="s">
        <v>100</v>
      </c>
      <c r="Y91" s="20" t="s">
        <v>92</v>
      </c>
      <c r="Z91" s="20" t="s">
        <v>95</v>
      </c>
      <c r="AA91" s="20" t="s">
        <v>92</v>
      </c>
      <c r="AB91" s="20" t="s">
        <v>118</v>
      </c>
      <c r="AC91" s="20" t="s">
        <v>92</v>
      </c>
      <c r="AD91" s="20" t="s">
        <v>96</v>
      </c>
      <c r="AE91" s="20" t="s">
        <v>127</v>
      </c>
      <c r="AF91" s="21"/>
    </row>
    <row r="92" customFormat="false" ht="13.5" hidden="false" customHeight="false" outlineLevel="0" collapsed="false">
      <c r="A92" s="2" t="s">
        <v>119</v>
      </c>
      <c r="B92" s="2" t="n">
        <v>88</v>
      </c>
      <c r="C92" s="20" t="n">
        <v>141000</v>
      </c>
      <c r="D92" s="20" t="n">
        <v>531000</v>
      </c>
      <c r="E92" s="17" t="n">
        <v>141020.48</v>
      </c>
      <c r="F92" s="17" t="n">
        <v>530979.189</v>
      </c>
      <c r="G92" s="18" t="n">
        <v>45945.402650463</v>
      </c>
      <c r="H92" s="19" t="n">
        <v>4.54</v>
      </c>
      <c r="I92" s="19" t="n">
        <v>20.5</v>
      </c>
      <c r="J92" s="19" t="n">
        <v>282</v>
      </c>
      <c r="K92" s="20" t="n">
        <v>0</v>
      </c>
      <c r="L92" s="20" t="s">
        <v>92</v>
      </c>
      <c r="M92" s="20" t="s">
        <v>92</v>
      </c>
      <c r="N92" s="20" t="s">
        <v>92</v>
      </c>
      <c r="O92" s="20" t="s">
        <v>126</v>
      </c>
      <c r="P92" s="20" t="s">
        <v>126</v>
      </c>
      <c r="Q92" s="20" t="s">
        <v>126</v>
      </c>
      <c r="R92" s="20" t="s">
        <v>126</v>
      </c>
      <c r="S92" s="20" t="s">
        <v>126</v>
      </c>
      <c r="T92" s="20" t="s">
        <v>100</v>
      </c>
      <c r="U92" s="20" t="s">
        <v>100</v>
      </c>
      <c r="V92" s="20" t="s">
        <v>100</v>
      </c>
      <c r="W92" s="20" t="s">
        <v>100</v>
      </c>
      <c r="X92" s="20" t="s">
        <v>100</v>
      </c>
      <c r="Y92" s="20" t="s">
        <v>95</v>
      </c>
      <c r="Z92" s="20" t="s">
        <v>95</v>
      </c>
      <c r="AA92" s="20" t="s">
        <v>95</v>
      </c>
      <c r="AB92" s="20" t="s">
        <v>95</v>
      </c>
      <c r="AC92" s="20" t="s">
        <v>95</v>
      </c>
      <c r="AD92" s="20" t="s">
        <v>109</v>
      </c>
      <c r="AE92" s="20" t="s">
        <v>127</v>
      </c>
      <c r="AF92" s="21"/>
    </row>
    <row r="93" customFormat="false" ht="13.5" hidden="false" customHeight="false" outlineLevel="0" collapsed="false">
      <c r="A93" s="2" t="s">
        <v>119</v>
      </c>
      <c r="B93" s="2" t="n">
        <v>89</v>
      </c>
      <c r="C93" s="20" t="n">
        <v>145000</v>
      </c>
      <c r="D93" s="20" t="n">
        <v>531000</v>
      </c>
      <c r="E93" s="17" t="n">
        <v>144992.79</v>
      </c>
      <c r="F93" s="17" t="n">
        <v>531002.256</v>
      </c>
      <c r="G93" s="18" t="n">
        <v>45945.3818171296</v>
      </c>
      <c r="H93" s="19" t="n">
        <v>5.3</v>
      </c>
      <c r="I93" s="19" t="s">
        <v>92</v>
      </c>
      <c r="J93" s="19" t="s">
        <v>92</v>
      </c>
      <c r="K93" s="20" t="n">
        <v>0</v>
      </c>
      <c r="L93" s="20" t="s">
        <v>92</v>
      </c>
      <c r="M93" s="20" t="s">
        <v>92</v>
      </c>
      <c r="N93" s="20" t="s">
        <v>92</v>
      </c>
      <c r="O93" s="20" t="s">
        <v>101</v>
      </c>
      <c r="P93" s="20" t="s">
        <v>101</v>
      </c>
      <c r="Q93" s="20" t="s">
        <v>101</v>
      </c>
      <c r="R93" s="20" t="s">
        <v>101</v>
      </c>
      <c r="S93" s="20" t="s">
        <v>101</v>
      </c>
      <c r="T93" s="20" t="s">
        <v>102</v>
      </c>
      <c r="U93" s="20" t="s">
        <v>102</v>
      </c>
      <c r="V93" s="20" t="s">
        <v>102</v>
      </c>
      <c r="W93" s="20" t="s">
        <v>102</v>
      </c>
      <c r="X93" s="20" t="s">
        <v>102</v>
      </c>
      <c r="Y93" s="20" t="s">
        <v>92</v>
      </c>
      <c r="Z93" s="20" t="s">
        <v>92</v>
      </c>
      <c r="AA93" s="20" t="s">
        <v>92</v>
      </c>
      <c r="AB93" s="20" t="s">
        <v>92</v>
      </c>
      <c r="AC93" s="20" t="s">
        <v>92</v>
      </c>
      <c r="AD93" s="20" t="s">
        <v>96</v>
      </c>
      <c r="AE93" s="20" t="s">
        <v>127</v>
      </c>
      <c r="AF93" s="21"/>
    </row>
    <row r="94" customFormat="false" ht="13.5" hidden="false" customHeight="false" outlineLevel="0" collapsed="false">
      <c r="A94" s="2" t="s">
        <v>119</v>
      </c>
      <c r="B94" s="2" t="n">
        <v>90</v>
      </c>
      <c r="C94" s="20" t="n">
        <v>149000</v>
      </c>
      <c r="D94" s="20" t="n">
        <v>531000</v>
      </c>
      <c r="E94" s="17" t="n">
        <v>148994.898</v>
      </c>
      <c r="F94" s="17" t="n">
        <v>530986.125</v>
      </c>
      <c r="G94" s="18" t="n">
        <v>45945.5459143519</v>
      </c>
      <c r="H94" s="19" t="n">
        <v>5.42</v>
      </c>
      <c r="I94" s="19" t="s">
        <v>92</v>
      </c>
      <c r="J94" s="19" t="s">
        <v>92</v>
      </c>
      <c r="K94" s="20" t="n">
        <v>0</v>
      </c>
      <c r="L94" s="20" t="s">
        <v>92</v>
      </c>
      <c r="M94" s="20" t="s">
        <v>92</v>
      </c>
      <c r="N94" s="20" t="s">
        <v>92</v>
      </c>
      <c r="O94" s="20" t="s">
        <v>101</v>
      </c>
      <c r="P94" s="20" t="s">
        <v>101</v>
      </c>
      <c r="Q94" s="20" t="s">
        <v>101</v>
      </c>
      <c r="R94" s="20" t="s">
        <v>101</v>
      </c>
      <c r="S94" s="20" t="s">
        <v>101</v>
      </c>
      <c r="T94" s="20" t="s">
        <v>102</v>
      </c>
      <c r="U94" s="20" t="s">
        <v>102</v>
      </c>
      <c r="V94" s="20" t="s">
        <v>102</v>
      </c>
      <c r="W94" s="20" t="s">
        <v>102</v>
      </c>
      <c r="X94" s="20" t="s">
        <v>102</v>
      </c>
      <c r="Y94" s="20" t="s">
        <v>92</v>
      </c>
      <c r="Z94" s="20" t="s">
        <v>92</v>
      </c>
      <c r="AA94" s="20" t="s">
        <v>92</v>
      </c>
      <c r="AB94" s="20" t="s">
        <v>92</v>
      </c>
      <c r="AC94" s="20" t="s">
        <v>92</v>
      </c>
      <c r="AD94" s="20" t="s">
        <v>96</v>
      </c>
      <c r="AE94" s="20" t="s">
        <v>127</v>
      </c>
      <c r="AF94" s="21"/>
    </row>
    <row r="95" customFormat="false" ht="13.5" hidden="false" customHeight="false" outlineLevel="0" collapsed="false">
      <c r="A95" s="2" t="s">
        <v>119</v>
      </c>
      <c r="B95" s="2" t="n">
        <v>91</v>
      </c>
      <c r="C95" s="20" t="n">
        <v>153000</v>
      </c>
      <c r="D95" s="20" t="n">
        <v>531000</v>
      </c>
      <c r="E95" s="17" t="n">
        <v>153010.401</v>
      </c>
      <c r="F95" s="17" t="n">
        <v>531003.54</v>
      </c>
      <c r="G95" s="18" t="n">
        <v>45945.5839930556</v>
      </c>
      <c r="H95" s="19" t="n">
        <v>5.8</v>
      </c>
      <c r="I95" s="19" t="s">
        <v>92</v>
      </c>
      <c r="J95" s="19" t="s">
        <v>92</v>
      </c>
      <c r="K95" s="20" t="n">
        <v>0</v>
      </c>
      <c r="L95" s="20" t="s">
        <v>92</v>
      </c>
      <c r="M95" s="20" t="s">
        <v>92</v>
      </c>
      <c r="N95" s="20" t="s">
        <v>92</v>
      </c>
      <c r="O95" s="20" t="s">
        <v>101</v>
      </c>
      <c r="P95" s="20" t="s">
        <v>101</v>
      </c>
      <c r="Q95" s="20" t="s">
        <v>101</v>
      </c>
      <c r="R95" s="20" t="s">
        <v>101</v>
      </c>
      <c r="S95" s="20" t="s">
        <v>101</v>
      </c>
      <c r="T95" s="20" t="s">
        <v>102</v>
      </c>
      <c r="U95" s="20" t="s">
        <v>102</v>
      </c>
      <c r="V95" s="20" t="s">
        <v>102</v>
      </c>
      <c r="W95" s="20" t="s">
        <v>102</v>
      </c>
      <c r="X95" s="20" t="s">
        <v>102</v>
      </c>
      <c r="Y95" s="20" t="s">
        <v>92</v>
      </c>
      <c r="Z95" s="20" t="s">
        <v>92</v>
      </c>
      <c r="AA95" s="20" t="s">
        <v>92</v>
      </c>
      <c r="AB95" s="20" t="s">
        <v>92</v>
      </c>
      <c r="AC95" s="20" t="s">
        <v>92</v>
      </c>
      <c r="AD95" s="20" t="s">
        <v>96</v>
      </c>
      <c r="AE95" s="20" t="s">
        <v>127</v>
      </c>
      <c r="AF95" s="21"/>
    </row>
    <row r="96" customFormat="false" ht="13.5" hidden="false" customHeight="false" outlineLevel="0" collapsed="false">
      <c r="A96" s="2" t="s">
        <v>119</v>
      </c>
      <c r="B96" s="2" t="n">
        <v>92</v>
      </c>
      <c r="C96" s="20" t="n">
        <v>157000</v>
      </c>
      <c r="D96" s="20" t="n">
        <v>531000</v>
      </c>
      <c r="E96" s="17" t="n">
        <v>157010.892</v>
      </c>
      <c r="F96" s="17" t="n">
        <v>531013.128</v>
      </c>
      <c r="G96" s="18" t="n">
        <v>45945.620474537</v>
      </c>
      <c r="H96" s="19" t="n">
        <v>4.4</v>
      </c>
      <c r="I96" s="19" t="n">
        <v>0.2</v>
      </c>
      <c r="J96" s="19" t="n">
        <v>0.8</v>
      </c>
      <c r="K96" s="20" t="n">
        <v>0</v>
      </c>
      <c r="L96" s="20" t="s">
        <v>92</v>
      </c>
      <c r="M96" s="20" t="s">
        <v>92</v>
      </c>
      <c r="N96" s="20" t="s">
        <v>92</v>
      </c>
      <c r="O96" s="20" t="s">
        <v>93</v>
      </c>
      <c r="P96" s="20" t="s">
        <v>93</v>
      </c>
      <c r="Q96" s="20" t="s">
        <v>93</v>
      </c>
      <c r="R96" s="20" t="s">
        <v>93</v>
      </c>
      <c r="S96" s="20" t="s">
        <v>93</v>
      </c>
      <c r="T96" s="20" t="s">
        <v>94</v>
      </c>
      <c r="U96" s="20" t="s">
        <v>94</v>
      </c>
      <c r="V96" s="20" t="s">
        <v>94</v>
      </c>
      <c r="W96" s="20" t="s">
        <v>94</v>
      </c>
      <c r="X96" s="20" t="s">
        <v>94</v>
      </c>
      <c r="Y96" s="20" t="s">
        <v>92</v>
      </c>
      <c r="Z96" s="20" t="s">
        <v>95</v>
      </c>
      <c r="AA96" s="20" t="s">
        <v>92</v>
      </c>
      <c r="AB96" s="20" t="s">
        <v>92</v>
      </c>
      <c r="AC96" s="20" t="s">
        <v>92</v>
      </c>
      <c r="AD96" s="20" t="s">
        <v>96</v>
      </c>
      <c r="AE96" s="20" t="s">
        <v>127</v>
      </c>
      <c r="AF96" s="21"/>
    </row>
    <row r="97" customFormat="false" ht="13.5" hidden="false" customHeight="false" outlineLevel="0" collapsed="false">
      <c r="A97" s="2" t="s">
        <v>119</v>
      </c>
      <c r="B97" s="2" t="n">
        <v>93</v>
      </c>
      <c r="C97" s="20" t="n">
        <v>161000</v>
      </c>
      <c r="D97" s="20" t="n">
        <v>531000</v>
      </c>
      <c r="E97" s="17" t="n">
        <v>161009.123</v>
      </c>
      <c r="F97" s="17" t="n">
        <v>530984.6</v>
      </c>
      <c r="G97" s="18" t="n">
        <v>45945.6569097222</v>
      </c>
      <c r="H97" s="19" t="n">
        <v>4.88</v>
      </c>
      <c r="I97" s="19" t="n">
        <v>1.5</v>
      </c>
      <c r="J97" s="19" t="n">
        <v>23</v>
      </c>
      <c r="K97" s="20" t="n">
        <v>0</v>
      </c>
      <c r="L97" s="20" t="s">
        <v>92</v>
      </c>
      <c r="M97" s="20" t="s">
        <v>92</v>
      </c>
      <c r="N97" s="20" t="s">
        <v>92</v>
      </c>
      <c r="O97" s="20" t="s">
        <v>93</v>
      </c>
      <c r="P97" s="20" t="s">
        <v>93</v>
      </c>
      <c r="Q97" s="20" t="s">
        <v>93</v>
      </c>
      <c r="R97" s="20" t="s">
        <v>93</v>
      </c>
      <c r="S97" s="20" t="s">
        <v>93</v>
      </c>
      <c r="T97" s="20" t="s">
        <v>94</v>
      </c>
      <c r="U97" s="20" t="s">
        <v>94</v>
      </c>
      <c r="V97" s="20" t="s">
        <v>99</v>
      </c>
      <c r="W97" s="20" t="s">
        <v>94</v>
      </c>
      <c r="X97" s="20" t="s">
        <v>94</v>
      </c>
      <c r="Y97" s="20" t="s">
        <v>95</v>
      </c>
      <c r="Z97" s="20" t="s">
        <v>92</v>
      </c>
      <c r="AA97" s="20" t="s">
        <v>95</v>
      </c>
      <c r="AB97" s="20" t="s">
        <v>95</v>
      </c>
      <c r="AC97" s="20" t="s">
        <v>95</v>
      </c>
      <c r="AD97" s="20" t="s">
        <v>109</v>
      </c>
      <c r="AE97" s="20" t="s">
        <v>127</v>
      </c>
      <c r="AF97" s="21"/>
    </row>
    <row r="98" customFormat="false" ht="13.5" hidden="false" customHeight="false" outlineLevel="0" collapsed="false">
      <c r="A98" s="2" t="s">
        <v>119</v>
      </c>
      <c r="B98" s="2" t="n">
        <v>94</v>
      </c>
      <c r="C98" s="20" t="n">
        <v>165000</v>
      </c>
      <c r="D98" s="20" t="n">
        <v>531000</v>
      </c>
      <c r="E98" s="17" t="n">
        <v>165000.893</v>
      </c>
      <c r="F98" s="17" t="n">
        <v>531006.962</v>
      </c>
      <c r="G98" s="18" t="n">
        <v>45946.4592476852</v>
      </c>
      <c r="H98" s="19" t="n">
        <v>4.22</v>
      </c>
      <c r="I98" s="19" t="n">
        <v>8.5</v>
      </c>
      <c r="J98" s="19" t="n">
        <v>84</v>
      </c>
      <c r="K98" s="20" t="n">
        <v>0</v>
      </c>
      <c r="L98" s="20" t="s">
        <v>92</v>
      </c>
      <c r="M98" s="20" t="s">
        <v>92</v>
      </c>
      <c r="N98" s="20" t="s">
        <v>92</v>
      </c>
      <c r="O98" s="20" t="s">
        <v>110</v>
      </c>
      <c r="P98" s="20" t="s">
        <v>110</v>
      </c>
      <c r="Q98" s="20" t="s">
        <v>110</v>
      </c>
      <c r="R98" s="20" t="s">
        <v>110</v>
      </c>
      <c r="S98" s="20" t="s">
        <v>110</v>
      </c>
      <c r="T98" s="20" t="s">
        <v>94</v>
      </c>
      <c r="U98" s="20" t="s">
        <v>94</v>
      </c>
      <c r="V98" s="20" t="s">
        <v>94</v>
      </c>
      <c r="W98" s="20" t="s">
        <v>94</v>
      </c>
      <c r="X98" s="20" t="s">
        <v>94</v>
      </c>
      <c r="Y98" s="20" t="s">
        <v>112</v>
      </c>
      <c r="Z98" s="20" t="s">
        <v>92</v>
      </c>
      <c r="AA98" s="20" t="s">
        <v>117</v>
      </c>
      <c r="AB98" s="20" t="s">
        <v>95</v>
      </c>
      <c r="AC98" s="20" t="s">
        <v>95</v>
      </c>
      <c r="AD98" s="20" t="s">
        <v>96</v>
      </c>
      <c r="AE98" s="20" t="s">
        <v>125</v>
      </c>
      <c r="AF98" s="21"/>
    </row>
    <row r="99" customFormat="false" ht="13.5" hidden="false" customHeight="false" outlineLevel="0" collapsed="false">
      <c r="A99" s="2" t="s">
        <v>119</v>
      </c>
      <c r="B99" s="2" t="n">
        <v>95</v>
      </c>
      <c r="C99" s="20" t="n">
        <v>169000</v>
      </c>
      <c r="D99" s="20" t="n">
        <v>530000</v>
      </c>
      <c r="E99" s="17" t="n">
        <v>169005.933</v>
      </c>
      <c r="F99" s="17" t="n">
        <v>529997.768</v>
      </c>
      <c r="G99" s="18" t="n">
        <v>45943.5597569444</v>
      </c>
      <c r="H99" s="19" t="n">
        <v>2.88</v>
      </c>
      <c r="I99" s="19" t="n">
        <v>6</v>
      </c>
      <c r="J99" s="19" t="n">
        <v>40</v>
      </c>
      <c r="K99" s="20" t="n">
        <v>0</v>
      </c>
      <c r="L99" s="20" t="s">
        <v>92</v>
      </c>
      <c r="M99" s="20" t="s">
        <v>92</v>
      </c>
      <c r="N99" s="20" t="s">
        <v>92</v>
      </c>
      <c r="O99" s="20" t="s">
        <v>93</v>
      </c>
      <c r="P99" s="20" t="s">
        <v>93</v>
      </c>
      <c r="Q99" s="20" t="s">
        <v>93</v>
      </c>
      <c r="R99" s="20" t="s">
        <v>93</v>
      </c>
      <c r="S99" s="20" t="s">
        <v>93</v>
      </c>
      <c r="T99" s="20" t="s">
        <v>105</v>
      </c>
      <c r="U99" s="20" t="s">
        <v>105</v>
      </c>
      <c r="V99" s="20" t="s">
        <v>105</v>
      </c>
      <c r="W99" s="20" t="s">
        <v>94</v>
      </c>
      <c r="X99" s="20" t="s">
        <v>94</v>
      </c>
      <c r="Y99" s="20" t="s">
        <v>92</v>
      </c>
      <c r="Z99" s="20" t="s">
        <v>92</v>
      </c>
      <c r="AA99" s="20" t="s">
        <v>92</v>
      </c>
      <c r="AB99" s="20" t="s">
        <v>117</v>
      </c>
      <c r="AC99" s="20" t="s">
        <v>95</v>
      </c>
      <c r="AD99" s="20" t="s">
        <v>96</v>
      </c>
      <c r="AE99" s="20" t="s">
        <v>131</v>
      </c>
      <c r="AF99" s="21" t="s">
        <v>132</v>
      </c>
    </row>
    <row r="100" customFormat="false" ht="13.5" hidden="false" customHeight="false" outlineLevel="0" collapsed="false">
      <c r="A100" s="2" t="s">
        <v>119</v>
      </c>
      <c r="B100" s="2" t="n">
        <v>96</v>
      </c>
      <c r="C100" s="20" t="n">
        <v>139000</v>
      </c>
      <c r="D100" s="20" t="n">
        <v>529000</v>
      </c>
      <c r="E100" s="17" t="n">
        <v>138994.913</v>
      </c>
      <c r="F100" s="17" t="n">
        <v>528999.142</v>
      </c>
      <c r="G100" s="18" t="n">
        <v>45945.4221180556</v>
      </c>
      <c r="H100" s="19" t="n">
        <v>2.64</v>
      </c>
      <c r="I100" s="19" t="n">
        <v>20</v>
      </c>
      <c r="J100" s="19" t="n">
        <v>94</v>
      </c>
      <c r="K100" s="20" t="n">
        <v>0</v>
      </c>
      <c r="L100" s="20" t="n">
        <v>0.2</v>
      </c>
      <c r="M100" s="20" t="n">
        <v>1</v>
      </c>
      <c r="N100" s="20" t="s">
        <v>92</v>
      </c>
      <c r="O100" s="20" t="s">
        <v>110</v>
      </c>
      <c r="P100" s="20" t="s">
        <v>110</v>
      </c>
      <c r="Q100" s="20" t="s">
        <v>110</v>
      </c>
      <c r="R100" s="20" t="s">
        <v>110</v>
      </c>
      <c r="S100" s="20" t="s">
        <v>110</v>
      </c>
      <c r="T100" s="20" t="s">
        <v>99</v>
      </c>
      <c r="U100" s="20" t="s">
        <v>99</v>
      </c>
      <c r="V100" s="20" t="s">
        <v>99</v>
      </c>
      <c r="W100" s="20" t="s">
        <v>99</v>
      </c>
      <c r="X100" s="20" t="s">
        <v>99</v>
      </c>
      <c r="Y100" s="20" t="s">
        <v>117</v>
      </c>
      <c r="Z100" s="20" t="s">
        <v>117</v>
      </c>
      <c r="AA100" s="20" t="s">
        <v>95</v>
      </c>
      <c r="AB100" s="20" t="s">
        <v>93</v>
      </c>
      <c r="AC100" s="20" t="s">
        <v>93</v>
      </c>
      <c r="AD100" s="20" t="s">
        <v>109</v>
      </c>
      <c r="AE100" s="20" t="s">
        <v>127</v>
      </c>
      <c r="AF100" s="21"/>
    </row>
    <row r="101" customFormat="false" ht="13.5" hidden="false" customHeight="false" outlineLevel="0" collapsed="false">
      <c r="A101" s="2" t="s">
        <v>119</v>
      </c>
      <c r="B101" s="2" t="n">
        <v>97</v>
      </c>
      <c r="C101" s="20" t="n">
        <v>147400</v>
      </c>
      <c r="D101" s="20" t="n">
        <v>529000</v>
      </c>
      <c r="E101" s="17" t="n">
        <v>147403.709</v>
      </c>
      <c r="F101" s="17" t="n">
        <v>528998.41</v>
      </c>
      <c r="G101" s="18" t="n">
        <v>45945.3636689815</v>
      </c>
      <c r="H101" s="19" t="n">
        <v>4.96</v>
      </c>
      <c r="I101" s="19" t="s">
        <v>92</v>
      </c>
      <c r="J101" s="19" t="s">
        <v>133</v>
      </c>
      <c r="K101" s="20" t="n">
        <v>0</v>
      </c>
      <c r="L101" s="20" t="s">
        <v>92</v>
      </c>
      <c r="M101" s="20" t="s">
        <v>92</v>
      </c>
      <c r="N101" s="20" t="s">
        <v>92</v>
      </c>
      <c r="O101" s="20" t="s">
        <v>101</v>
      </c>
      <c r="P101" s="20" t="s">
        <v>101</v>
      </c>
      <c r="Q101" s="20" t="s">
        <v>101</v>
      </c>
      <c r="R101" s="20" t="s">
        <v>101</v>
      </c>
      <c r="S101" s="20" t="s">
        <v>101</v>
      </c>
      <c r="T101" s="20" t="s">
        <v>102</v>
      </c>
      <c r="U101" s="20" t="s">
        <v>102</v>
      </c>
      <c r="V101" s="20" t="s">
        <v>102</v>
      </c>
      <c r="W101" s="20" t="s">
        <v>102</v>
      </c>
      <c r="X101" s="20" t="s">
        <v>102</v>
      </c>
      <c r="Y101" s="20" t="s">
        <v>92</v>
      </c>
      <c r="Z101" s="20" t="s">
        <v>92</v>
      </c>
      <c r="AA101" s="20" t="s">
        <v>92</v>
      </c>
      <c r="AB101" s="20" t="s">
        <v>92</v>
      </c>
      <c r="AC101" s="20" t="s">
        <v>92</v>
      </c>
      <c r="AD101" s="20" t="s">
        <v>96</v>
      </c>
      <c r="AE101" s="20" t="s">
        <v>127</v>
      </c>
      <c r="AF101" s="21"/>
    </row>
    <row r="102" customFormat="false" ht="13.5" hidden="false" customHeight="false" outlineLevel="0" collapsed="false">
      <c r="A102" s="2" t="s">
        <v>119</v>
      </c>
      <c r="B102" s="2" t="n">
        <v>98</v>
      </c>
      <c r="C102" s="20" t="n">
        <v>151000</v>
      </c>
      <c r="D102" s="20" t="n">
        <v>529000</v>
      </c>
      <c r="E102" s="17" t="n">
        <v>151005.796</v>
      </c>
      <c r="F102" s="17" t="n">
        <v>529014.837</v>
      </c>
      <c r="G102" s="18" t="n">
        <v>45945.5641087963</v>
      </c>
      <c r="H102" s="19" t="n">
        <v>5.6</v>
      </c>
      <c r="I102" s="19" t="s">
        <v>92</v>
      </c>
      <c r="J102" s="19" t="s">
        <v>92</v>
      </c>
      <c r="K102" s="20" t="n">
        <v>0</v>
      </c>
      <c r="L102" s="20" t="s">
        <v>92</v>
      </c>
      <c r="M102" s="20" t="s">
        <v>92</v>
      </c>
      <c r="N102" s="20" t="s">
        <v>92</v>
      </c>
      <c r="O102" s="20" t="s">
        <v>101</v>
      </c>
      <c r="P102" s="20" t="s">
        <v>101</v>
      </c>
      <c r="Q102" s="20" t="s">
        <v>101</v>
      </c>
      <c r="R102" s="20" t="s">
        <v>101</v>
      </c>
      <c r="S102" s="20" t="s">
        <v>101</v>
      </c>
      <c r="T102" s="20" t="s">
        <v>102</v>
      </c>
      <c r="U102" s="20" t="s">
        <v>102</v>
      </c>
      <c r="V102" s="20" t="s">
        <v>102</v>
      </c>
      <c r="W102" s="20" t="s">
        <v>102</v>
      </c>
      <c r="X102" s="20" t="s">
        <v>102</v>
      </c>
      <c r="Y102" s="20" t="s">
        <v>92</v>
      </c>
      <c r="Z102" s="20" t="s">
        <v>92</v>
      </c>
      <c r="AA102" s="20" t="s">
        <v>92</v>
      </c>
      <c r="AB102" s="20" t="s">
        <v>92</v>
      </c>
      <c r="AC102" s="20" t="s">
        <v>92</v>
      </c>
      <c r="AD102" s="20" t="s">
        <v>96</v>
      </c>
      <c r="AE102" s="20" t="s">
        <v>127</v>
      </c>
      <c r="AF102" s="21"/>
    </row>
    <row r="103" customFormat="false" ht="13.5" hidden="false" customHeight="false" outlineLevel="0" collapsed="false">
      <c r="A103" s="2" t="s">
        <v>119</v>
      </c>
      <c r="B103" s="2" t="n">
        <v>99</v>
      </c>
      <c r="C103" s="20" t="n">
        <v>155000</v>
      </c>
      <c r="D103" s="20" t="n">
        <v>529000</v>
      </c>
      <c r="E103" s="17" t="n">
        <v>155008.058</v>
      </c>
      <c r="F103" s="17" t="n">
        <v>528988.509</v>
      </c>
      <c r="G103" s="18" t="n">
        <v>45945.6016435185</v>
      </c>
      <c r="H103" s="19" t="n">
        <v>5.64</v>
      </c>
      <c r="I103" s="19" t="s">
        <v>92</v>
      </c>
      <c r="J103" s="19" t="s">
        <v>92</v>
      </c>
      <c r="K103" s="20" t="n">
        <v>0</v>
      </c>
      <c r="L103" s="20" t="s">
        <v>92</v>
      </c>
      <c r="M103" s="20" t="s">
        <v>92</v>
      </c>
      <c r="N103" s="20" t="s">
        <v>92</v>
      </c>
      <c r="O103" s="20" t="s">
        <v>101</v>
      </c>
      <c r="P103" s="20" t="s">
        <v>101</v>
      </c>
      <c r="Q103" s="20" t="s">
        <v>101</v>
      </c>
      <c r="R103" s="20" t="s">
        <v>101</v>
      </c>
      <c r="S103" s="20" t="s">
        <v>101</v>
      </c>
      <c r="T103" s="20" t="s">
        <v>102</v>
      </c>
      <c r="U103" s="20" t="s">
        <v>102</v>
      </c>
      <c r="V103" s="20" t="s">
        <v>102</v>
      </c>
      <c r="W103" s="20" t="s">
        <v>102</v>
      </c>
      <c r="X103" s="20" t="s">
        <v>102</v>
      </c>
      <c r="Y103" s="20" t="s">
        <v>92</v>
      </c>
      <c r="Z103" s="20" t="s">
        <v>92</v>
      </c>
      <c r="AA103" s="20" t="s">
        <v>92</v>
      </c>
      <c r="AB103" s="20" t="s">
        <v>92</v>
      </c>
      <c r="AC103" s="20" t="s">
        <v>92</v>
      </c>
      <c r="AD103" s="20" t="s">
        <v>96</v>
      </c>
      <c r="AE103" s="20" t="s">
        <v>127</v>
      </c>
      <c r="AF103" s="21"/>
    </row>
    <row r="104" customFormat="false" ht="13.5" hidden="false" customHeight="false" outlineLevel="0" collapsed="false">
      <c r="A104" s="2" t="s">
        <v>119</v>
      </c>
      <c r="B104" s="2" t="n">
        <v>100</v>
      </c>
      <c r="C104" s="20" t="n">
        <v>159000</v>
      </c>
      <c r="D104" s="20" t="n">
        <v>529000</v>
      </c>
      <c r="E104" s="17" t="n">
        <v>159003.912</v>
      </c>
      <c r="F104" s="17" t="n">
        <v>529006.741</v>
      </c>
      <c r="G104" s="18" t="n">
        <v>45945.6395833333</v>
      </c>
      <c r="H104" s="19" t="n">
        <v>4.8</v>
      </c>
      <c r="I104" s="19" t="n">
        <v>6</v>
      </c>
      <c r="J104" s="19" t="n">
        <v>148</v>
      </c>
      <c r="K104" s="20" t="n">
        <v>0</v>
      </c>
      <c r="L104" s="20" t="s">
        <v>92</v>
      </c>
      <c r="M104" s="20" t="s">
        <v>92</v>
      </c>
      <c r="N104" s="20" t="s">
        <v>92</v>
      </c>
      <c r="O104" s="20" t="s">
        <v>110</v>
      </c>
      <c r="P104" s="20" t="s">
        <v>110</v>
      </c>
      <c r="Q104" s="20" t="s">
        <v>110</v>
      </c>
      <c r="R104" s="20" t="s">
        <v>110</v>
      </c>
      <c r="S104" s="20" t="s">
        <v>110</v>
      </c>
      <c r="T104" s="20" t="s">
        <v>94</v>
      </c>
      <c r="U104" s="20" t="s">
        <v>94</v>
      </c>
      <c r="V104" s="20" t="s">
        <v>94</v>
      </c>
      <c r="W104" s="20" t="s">
        <v>94</v>
      </c>
      <c r="X104" s="20" t="s">
        <v>94</v>
      </c>
      <c r="Y104" s="20" t="s">
        <v>92</v>
      </c>
      <c r="Z104" s="20" t="s">
        <v>95</v>
      </c>
      <c r="AA104" s="20" t="s">
        <v>95</v>
      </c>
      <c r="AB104" s="20" t="s">
        <v>95</v>
      </c>
      <c r="AC104" s="20" t="s">
        <v>95</v>
      </c>
      <c r="AD104" s="20" t="s">
        <v>109</v>
      </c>
      <c r="AE104" s="20" t="s">
        <v>127</v>
      </c>
      <c r="AF104" s="21"/>
    </row>
    <row r="105" customFormat="false" ht="13.5" hidden="false" customHeight="false" outlineLevel="0" collapsed="false">
      <c r="A105" s="2" t="s">
        <v>119</v>
      </c>
      <c r="B105" s="2" t="n">
        <v>101</v>
      </c>
      <c r="C105" s="20" t="n">
        <v>163000</v>
      </c>
      <c r="D105" s="20" t="n">
        <v>529000</v>
      </c>
      <c r="E105" s="17" t="n">
        <v>163004.102</v>
      </c>
      <c r="F105" s="17" t="n">
        <v>529001.769</v>
      </c>
      <c r="G105" s="18" t="n">
        <v>45945.6735300926</v>
      </c>
      <c r="H105" s="19" t="n">
        <v>4.58</v>
      </c>
      <c r="I105" s="19" t="n">
        <v>0.8</v>
      </c>
      <c r="J105" s="19" t="n">
        <v>18</v>
      </c>
      <c r="K105" s="20" t="n">
        <v>0</v>
      </c>
      <c r="L105" s="20" t="s">
        <v>92</v>
      </c>
      <c r="M105" s="20" t="s">
        <v>92</v>
      </c>
      <c r="N105" s="20" t="s">
        <v>92</v>
      </c>
      <c r="O105" s="20" t="s">
        <v>93</v>
      </c>
      <c r="P105" s="20" t="s">
        <v>93</v>
      </c>
      <c r="Q105" s="20" t="s">
        <v>93</v>
      </c>
      <c r="R105" s="20" t="s">
        <v>93</v>
      </c>
      <c r="S105" s="20" t="s">
        <v>93</v>
      </c>
      <c r="T105" s="20" t="s">
        <v>94</v>
      </c>
      <c r="U105" s="20" t="s">
        <v>94</v>
      </c>
      <c r="V105" s="20" t="s">
        <v>94</v>
      </c>
      <c r="W105" s="20" t="s">
        <v>94</v>
      </c>
      <c r="X105" s="20" t="s">
        <v>94</v>
      </c>
      <c r="Y105" s="20" t="s">
        <v>95</v>
      </c>
      <c r="Z105" s="20" t="s">
        <v>95</v>
      </c>
      <c r="AA105" s="20" t="s">
        <v>95</v>
      </c>
      <c r="AB105" s="20" t="s">
        <v>95</v>
      </c>
      <c r="AC105" s="20" t="s">
        <v>95</v>
      </c>
      <c r="AD105" s="20" t="s">
        <v>96</v>
      </c>
      <c r="AE105" s="20" t="s">
        <v>127</v>
      </c>
      <c r="AF105" s="21"/>
    </row>
    <row r="106" customFormat="false" ht="13.5" hidden="false" customHeight="false" outlineLevel="0" collapsed="false">
      <c r="A106" s="2" t="s">
        <v>119</v>
      </c>
      <c r="B106" s="2" t="n">
        <v>102</v>
      </c>
      <c r="C106" s="20" t="n">
        <v>167000</v>
      </c>
      <c r="D106" s="20" t="n">
        <v>529000</v>
      </c>
      <c r="E106" s="17" t="n">
        <v>166995.908</v>
      </c>
      <c r="F106" s="17" t="n">
        <v>528982.251</v>
      </c>
      <c r="G106" s="18" t="n">
        <v>45943.5725</v>
      </c>
      <c r="H106" s="19" t="n">
        <v>3.8</v>
      </c>
      <c r="I106" s="19" t="n">
        <v>11</v>
      </c>
      <c r="J106" s="19" t="n">
        <v>66</v>
      </c>
      <c r="K106" s="20" t="n">
        <v>0</v>
      </c>
      <c r="L106" s="20" t="s">
        <v>92</v>
      </c>
      <c r="M106" s="20" t="s">
        <v>92</v>
      </c>
      <c r="N106" s="20" t="s">
        <v>92</v>
      </c>
      <c r="O106" s="20" t="s">
        <v>93</v>
      </c>
      <c r="P106" s="20" t="s">
        <v>93</v>
      </c>
      <c r="Q106" s="20" t="s">
        <v>93</v>
      </c>
      <c r="R106" s="20" t="s">
        <v>93</v>
      </c>
      <c r="S106" s="20" t="s">
        <v>93</v>
      </c>
      <c r="T106" s="20" t="s">
        <v>94</v>
      </c>
      <c r="U106" s="20" t="s">
        <v>94</v>
      </c>
      <c r="V106" s="20" t="s">
        <v>94</v>
      </c>
      <c r="W106" s="20" t="s">
        <v>94</v>
      </c>
      <c r="X106" s="20" t="s">
        <v>99</v>
      </c>
      <c r="Y106" s="20" t="s">
        <v>95</v>
      </c>
      <c r="Z106" s="20" t="s">
        <v>95</v>
      </c>
      <c r="AA106" s="20" t="s">
        <v>93</v>
      </c>
      <c r="AB106" s="20" t="s">
        <v>95</v>
      </c>
      <c r="AC106" s="20" t="s">
        <v>92</v>
      </c>
      <c r="AD106" s="20" t="s">
        <v>96</v>
      </c>
      <c r="AE106" s="20" t="s">
        <v>131</v>
      </c>
      <c r="AF106" s="21"/>
    </row>
    <row r="107" customFormat="false" ht="13.5" hidden="false" customHeight="false" outlineLevel="0" collapsed="false">
      <c r="A107" s="2" t="s">
        <v>119</v>
      </c>
      <c r="B107" s="2" t="n">
        <v>103</v>
      </c>
      <c r="C107" s="20" t="n">
        <v>149000</v>
      </c>
      <c r="D107" s="20" t="n">
        <v>527000</v>
      </c>
      <c r="E107" s="17" t="n">
        <v>148990.277</v>
      </c>
      <c r="F107" s="17" t="n">
        <v>527005.614</v>
      </c>
      <c r="G107" s="18" t="n">
        <v>45946.3565046296</v>
      </c>
      <c r="H107" s="19" t="n">
        <v>3.74</v>
      </c>
      <c r="I107" s="19" t="n">
        <v>18</v>
      </c>
      <c r="J107" s="19" t="n">
        <v>192</v>
      </c>
      <c r="K107" s="20" t="n">
        <v>0</v>
      </c>
      <c r="L107" s="20" t="n">
        <v>0.3</v>
      </c>
      <c r="M107" s="20" t="n">
        <v>1</v>
      </c>
      <c r="N107" s="20" t="s">
        <v>92</v>
      </c>
      <c r="O107" s="20" t="s">
        <v>93</v>
      </c>
      <c r="P107" s="20" t="s">
        <v>93</v>
      </c>
      <c r="Q107" s="20" t="s">
        <v>93</v>
      </c>
      <c r="R107" s="20" t="s">
        <v>93</v>
      </c>
      <c r="S107" s="20" t="s">
        <v>93</v>
      </c>
      <c r="T107" s="20" t="s">
        <v>94</v>
      </c>
      <c r="U107" s="20" t="s">
        <v>94</v>
      </c>
      <c r="V107" s="20" t="s">
        <v>94</v>
      </c>
      <c r="W107" s="20" t="s">
        <v>105</v>
      </c>
      <c r="X107" s="20" t="s">
        <v>94</v>
      </c>
      <c r="Y107" s="20" t="s">
        <v>95</v>
      </c>
      <c r="Z107" s="20" t="s">
        <v>95</v>
      </c>
      <c r="AA107" s="20" t="s">
        <v>95</v>
      </c>
      <c r="AB107" s="20" t="s">
        <v>121</v>
      </c>
      <c r="AC107" s="20" t="s">
        <v>95</v>
      </c>
      <c r="AD107" s="20" t="s">
        <v>96</v>
      </c>
      <c r="AE107" s="20" t="s">
        <v>125</v>
      </c>
      <c r="AF107" s="21"/>
    </row>
    <row r="108" customFormat="false" ht="13.5" hidden="false" customHeight="false" outlineLevel="0" collapsed="false">
      <c r="A108" s="2" t="s">
        <v>119</v>
      </c>
      <c r="B108" s="2" t="n">
        <v>104</v>
      </c>
      <c r="C108" s="20" t="n">
        <v>153000</v>
      </c>
      <c r="D108" s="20" t="n">
        <v>527000</v>
      </c>
      <c r="E108" s="17" t="n">
        <v>153002.021</v>
      </c>
      <c r="F108" s="17" t="n">
        <v>526997.66</v>
      </c>
      <c r="G108" s="18" t="n">
        <v>45946.3770949074</v>
      </c>
      <c r="H108" s="19" t="n">
        <v>5.54</v>
      </c>
      <c r="I108" s="19" t="n">
        <v>0.2</v>
      </c>
      <c r="J108" s="19" t="s">
        <v>92</v>
      </c>
      <c r="K108" s="20" t="n">
        <v>0</v>
      </c>
      <c r="L108" s="20" t="s">
        <v>92</v>
      </c>
      <c r="M108" s="20" t="s">
        <v>92</v>
      </c>
      <c r="N108" s="20" t="s">
        <v>92</v>
      </c>
      <c r="O108" s="20" t="s">
        <v>98</v>
      </c>
      <c r="P108" s="20" t="s">
        <v>98</v>
      </c>
      <c r="Q108" s="20" t="s">
        <v>98</v>
      </c>
      <c r="R108" s="20" t="s">
        <v>98</v>
      </c>
      <c r="S108" s="20" t="s">
        <v>98</v>
      </c>
      <c r="T108" s="20" t="s">
        <v>100</v>
      </c>
      <c r="U108" s="20" t="s">
        <v>100</v>
      </c>
      <c r="V108" s="20" t="s">
        <v>100</v>
      </c>
      <c r="W108" s="20" t="s">
        <v>100</v>
      </c>
      <c r="X108" s="20" t="s">
        <v>100</v>
      </c>
      <c r="Y108" s="20" t="s">
        <v>95</v>
      </c>
      <c r="Z108" s="20" t="s">
        <v>92</v>
      </c>
      <c r="AA108" s="20" t="s">
        <v>92</v>
      </c>
      <c r="AB108" s="20" t="s">
        <v>92</v>
      </c>
      <c r="AC108" s="20" t="s">
        <v>92</v>
      </c>
      <c r="AD108" s="20" t="s">
        <v>96</v>
      </c>
      <c r="AE108" s="20" t="s">
        <v>125</v>
      </c>
      <c r="AF108" s="21"/>
    </row>
    <row r="109" customFormat="false" ht="13.5" hidden="false" customHeight="false" outlineLevel="0" collapsed="false">
      <c r="A109" s="2" t="s">
        <v>119</v>
      </c>
      <c r="B109" s="2" t="n">
        <v>105</v>
      </c>
      <c r="C109" s="20" t="n">
        <v>157000</v>
      </c>
      <c r="D109" s="20" t="n">
        <v>527000</v>
      </c>
      <c r="E109" s="17" t="n">
        <v>157007.156</v>
      </c>
      <c r="F109" s="17" t="n">
        <v>526990.663</v>
      </c>
      <c r="G109" s="18" t="n">
        <v>45946.4113425926</v>
      </c>
      <c r="H109" s="19" t="n">
        <v>5.26</v>
      </c>
      <c r="I109" s="19" t="n">
        <v>0.3</v>
      </c>
      <c r="J109" s="19" t="n">
        <v>1</v>
      </c>
      <c r="K109" s="20" t="n">
        <v>0</v>
      </c>
      <c r="L109" s="20" t="s">
        <v>92</v>
      </c>
      <c r="M109" s="20" t="s">
        <v>92</v>
      </c>
      <c r="N109" s="20" t="s">
        <v>92</v>
      </c>
      <c r="O109" s="20" t="s">
        <v>115</v>
      </c>
      <c r="P109" s="20" t="s">
        <v>115</v>
      </c>
      <c r="Q109" s="20" t="s">
        <v>115</v>
      </c>
      <c r="R109" s="20" t="s">
        <v>115</v>
      </c>
      <c r="S109" s="20" t="s">
        <v>115</v>
      </c>
      <c r="T109" s="20" t="s">
        <v>116</v>
      </c>
      <c r="U109" s="20" t="s">
        <v>116</v>
      </c>
      <c r="V109" s="20" t="s">
        <v>116</v>
      </c>
      <c r="W109" s="20" t="s">
        <v>116</v>
      </c>
      <c r="X109" s="20" t="s">
        <v>116</v>
      </c>
      <c r="Y109" s="20" t="s">
        <v>95</v>
      </c>
      <c r="Z109" s="20" t="s">
        <v>92</v>
      </c>
      <c r="AA109" s="20" t="s">
        <v>92</v>
      </c>
      <c r="AB109" s="20" t="s">
        <v>92</v>
      </c>
      <c r="AC109" s="20" t="s">
        <v>92</v>
      </c>
      <c r="AD109" s="20" t="s">
        <v>96</v>
      </c>
      <c r="AE109" s="20" t="s">
        <v>125</v>
      </c>
      <c r="AF109" s="21"/>
    </row>
    <row r="110" customFormat="false" ht="13.5" hidden="false" customHeight="false" outlineLevel="0" collapsed="false">
      <c r="A110" s="2" t="s">
        <v>119</v>
      </c>
      <c r="B110" s="2" t="n">
        <v>106</v>
      </c>
      <c r="C110" s="20" t="n">
        <v>161000</v>
      </c>
      <c r="D110" s="20" t="n">
        <v>527000</v>
      </c>
      <c r="E110" s="17" t="n">
        <v>161001.361</v>
      </c>
      <c r="F110" s="17" t="n">
        <v>526984.378</v>
      </c>
      <c r="G110" s="18" t="n">
        <v>45946.4321527778</v>
      </c>
      <c r="H110" s="19" t="n">
        <v>4.88</v>
      </c>
      <c r="I110" s="19" t="n">
        <v>1</v>
      </c>
      <c r="J110" s="19" t="n">
        <v>13</v>
      </c>
      <c r="K110" s="20" t="n">
        <v>0</v>
      </c>
      <c r="L110" s="20" t="s">
        <v>92</v>
      </c>
      <c r="M110" s="20" t="s">
        <v>92</v>
      </c>
      <c r="N110" s="20" t="s">
        <v>92</v>
      </c>
      <c r="O110" s="20" t="s">
        <v>110</v>
      </c>
      <c r="P110" s="20" t="s">
        <v>110</v>
      </c>
      <c r="Q110" s="20" t="s">
        <v>110</v>
      </c>
      <c r="R110" s="20" t="s">
        <v>110</v>
      </c>
      <c r="S110" s="20" t="s">
        <v>110</v>
      </c>
      <c r="T110" s="20" t="s">
        <v>94</v>
      </c>
      <c r="U110" s="20" t="s">
        <v>94</v>
      </c>
      <c r="V110" s="20" t="s">
        <v>94</v>
      </c>
      <c r="W110" s="20" t="s">
        <v>94</v>
      </c>
      <c r="X110" s="20" t="s">
        <v>94</v>
      </c>
      <c r="Y110" s="20" t="s">
        <v>92</v>
      </c>
      <c r="Z110" s="20" t="s">
        <v>95</v>
      </c>
      <c r="AA110" s="20" t="s">
        <v>92</v>
      </c>
      <c r="AB110" s="20" t="s">
        <v>95</v>
      </c>
      <c r="AC110" s="20" t="s">
        <v>95</v>
      </c>
      <c r="AD110" s="20" t="s">
        <v>96</v>
      </c>
      <c r="AE110" s="20" t="s">
        <v>125</v>
      </c>
      <c r="AF110" s="21"/>
    </row>
    <row r="111" customFormat="false" ht="13.5" hidden="false" customHeight="false" outlineLevel="0" collapsed="false">
      <c r="A111" s="2" t="s">
        <v>119</v>
      </c>
      <c r="B111" s="2" t="n">
        <v>107</v>
      </c>
      <c r="C111" s="20" t="n">
        <v>165000</v>
      </c>
      <c r="D111" s="20" t="n">
        <v>527000</v>
      </c>
      <c r="E111" s="17" t="n">
        <v>164994.071</v>
      </c>
      <c r="F111" s="17" t="n">
        <v>526991.707</v>
      </c>
      <c r="G111" s="18" t="n">
        <v>45943.5887615741</v>
      </c>
      <c r="H111" s="19" t="n">
        <v>4.16</v>
      </c>
      <c r="I111" s="19" t="n">
        <v>7</v>
      </c>
      <c r="J111" s="19" t="n">
        <v>52</v>
      </c>
      <c r="K111" s="20" t="n">
        <v>0</v>
      </c>
      <c r="L111" s="20" t="s">
        <v>92</v>
      </c>
      <c r="M111" s="20" t="s">
        <v>92</v>
      </c>
      <c r="N111" s="20" t="s">
        <v>92</v>
      </c>
      <c r="O111" s="20" t="s">
        <v>93</v>
      </c>
      <c r="P111" s="20" t="s">
        <v>93</v>
      </c>
      <c r="Q111" s="20" t="s">
        <v>93</v>
      </c>
      <c r="R111" s="20" t="s">
        <v>93</v>
      </c>
      <c r="S111" s="20" t="s">
        <v>93</v>
      </c>
      <c r="T111" s="20" t="s">
        <v>94</v>
      </c>
      <c r="U111" s="20" t="s">
        <v>94</v>
      </c>
      <c r="V111" s="20" t="s">
        <v>94</v>
      </c>
      <c r="W111" s="20" t="s">
        <v>94</v>
      </c>
      <c r="X111" s="20" t="s">
        <v>94</v>
      </c>
      <c r="Y111" s="20" t="s">
        <v>95</v>
      </c>
      <c r="Z111" s="20" t="s">
        <v>95</v>
      </c>
      <c r="AA111" s="20" t="s">
        <v>92</v>
      </c>
      <c r="AB111" s="20" t="s">
        <v>95</v>
      </c>
      <c r="AC111" s="20" t="s">
        <v>95</v>
      </c>
      <c r="AD111" s="20" t="s">
        <v>96</v>
      </c>
      <c r="AE111" s="20" t="s">
        <v>131</v>
      </c>
      <c r="AF111" s="21"/>
    </row>
    <row r="112" customFormat="false" ht="13.5" hidden="false" customHeight="false" outlineLevel="0" collapsed="false">
      <c r="A112" s="2" t="s">
        <v>119</v>
      </c>
      <c r="B112" s="2" t="n">
        <v>108</v>
      </c>
      <c r="C112" s="20" t="n">
        <v>168700</v>
      </c>
      <c r="D112" s="20" t="n">
        <v>527000</v>
      </c>
      <c r="E112" s="17" t="n">
        <v>168702.436</v>
      </c>
      <c r="F112" s="17" t="n">
        <v>527008.616</v>
      </c>
      <c r="G112" s="18" t="n">
        <v>45943.5406597222</v>
      </c>
      <c r="H112" s="19" t="n">
        <v>4.2</v>
      </c>
      <c r="I112" s="19" t="n">
        <v>7.5</v>
      </c>
      <c r="J112" s="19" t="n">
        <v>20</v>
      </c>
      <c r="K112" s="20" t="n">
        <v>0</v>
      </c>
      <c r="L112" s="20" t="n">
        <v>4</v>
      </c>
      <c r="M112" s="20" t="n">
        <v>3</v>
      </c>
      <c r="N112" s="20" t="s">
        <v>92</v>
      </c>
      <c r="O112" s="20" t="s">
        <v>93</v>
      </c>
      <c r="P112" s="20" t="s">
        <v>93</v>
      </c>
      <c r="Q112" s="20" t="s">
        <v>93</v>
      </c>
      <c r="R112" s="20" t="s">
        <v>93</v>
      </c>
      <c r="S112" s="20" t="s">
        <v>93</v>
      </c>
      <c r="T112" s="20" t="s">
        <v>105</v>
      </c>
      <c r="U112" s="20" t="s">
        <v>105</v>
      </c>
      <c r="V112" s="20" t="s">
        <v>105</v>
      </c>
      <c r="W112" s="20" t="s">
        <v>105</v>
      </c>
      <c r="X112" s="20" t="s">
        <v>105</v>
      </c>
      <c r="Y112" s="20" t="s">
        <v>121</v>
      </c>
      <c r="Z112" s="20" t="s">
        <v>92</v>
      </c>
      <c r="AA112" s="20" t="s">
        <v>95</v>
      </c>
      <c r="AB112" s="20" t="s">
        <v>95</v>
      </c>
      <c r="AC112" s="20" t="s">
        <v>93</v>
      </c>
      <c r="AD112" s="20" t="s">
        <v>96</v>
      </c>
      <c r="AE112" s="20" t="s">
        <v>131</v>
      </c>
      <c r="AF112" s="21"/>
    </row>
    <row r="113" customFormat="false" ht="13.5" hidden="false" customHeight="false" outlineLevel="0" collapsed="false">
      <c r="A113" s="2" t="s">
        <v>134</v>
      </c>
      <c r="B113" s="2" t="n">
        <v>109</v>
      </c>
      <c r="C113" s="20" t="n">
        <v>151000</v>
      </c>
      <c r="D113" s="20" t="n">
        <v>525000</v>
      </c>
      <c r="E113" s="17" t="n">
        <v>151002.386</v>
      </c>
      <c r="F113" s="17" t="n">
        <v>525002.854</v>
      </c>
      <c r="G113" s="18" t="n">
        <v>45944.6717361111</v>
      </c>
      <c r="H113" s="19" t="n">
        <v>4.14</v>
      </c>
      <c r="I113" s="19" t="n">
        <v>11</v>
      </c>
      <c r="J113" s="19" t="n">
        <v>128</v>
      </c>
      <c r="K113" s="20" t="n">
        <v>0</v>
      </c>
      <c r="L113" s="20" t="n">
        <v>0.1</v>
      </c>
      <c r="M113" s="20" t="n">
        <v>1</v>
      </c>
      <c r="N113" s="20" t="s">
        <v>92</v>
      </c>
      <c r="O113" s="20" t="s">
        <v>110</v>
      </c>
      <c r="P113" s="20" t="s">
        <v>93</v>
      </c>
      <c r="Q113" s="20" t="s">
        <v>93</v>
      </c>
      <c r="R113" s="20" t="s">
        <v>93</v>
      </c>
      <c r="S113" s="20" t="s">
        <v>98</v>
      </c>
      <c r="T113" s="20" t="s">
        <v>99</v>
      </c>
      <c r="U113" s="20" t="s">
        <v>99</v>
      </c>
      <c r="V113" s="20" t="s">
        <v>99</v>
      </c>
      <c r="W113" s="20" t="s">
        <v>94</v>
      </c>
      <c r="X113" s="20" t="s">
        <v>100</v>
      </c>
      <c r="Y113" s="20" t="s">
        <v>95</v>
      </c>
      <c r="Z113" s="20" t="s">
        <v>95</v>
      </c>
      <c r="AA113" s="20" t="s">
        <v>95</v>
      </c>
      <c r="AB113" s="20" t="s">
        <v>95</v>
      </c>
      <c r="AC113" s="20" t="s">
        <v>95</v>
      </c>
      <c r="AD113" s="20" t="s">
        <v>109</v>
      </c>
      <c r="AE113" s="20" t="s">
        <v>135</v>
      </c>
      <c r="AF113" s="21"/>
    </row>
    <row r="114" customFormat="false" ht="13.5" hidden="false" customHeight="false" outlineLevel="0" collapsed="false">
      <c r="A114" s="2" t="s">
        <v>134</v>
      </c>
      <c r="B114" s="2" t="n">
        <v>110</v>
      </c>
      <c r="C114" s="20" t="n">
        <v>155000</v>
      </c>
      <c r="D114" s="20" t="n">
        <v>525000</v>
      </c>
      <c r="E114" s="17" t="n">
        <v>155001.992</v>
      </c>
      <c r="F114" s="17" t="n">
        <v>524989.766</v>
      </c>
      <c r="G114" s="18" t="n">
        <v>45946.3934027778</v>
      </c>
      <c r="H114" s="19" t="n">
        <v>5.26</v>
      </c>
      <c r="I114" s="19" t="n">
        <v>5.5</v>
      </c>
      <c r="J114" s="19" t="n">
        <v>150</v>
      </c>
      <c r="K114" s="20" t="n">
        <v>0</v>
      </c>
      <c r="L114" s="20" t="s">
        <v>92</v>
      </c>
      <c r="M114" s="20" t="s">
        <v>92</v>
      </c>
      <c r="N114" s="20" t="s">
        <v>92</v>
      </c>
      <c r="O114" s="20" t="s">
        <v>93</v>
      </c>
      <c r="P114" s="20" t="s">
        <v>93</v>
      </c>
      <c r="Q114" s="20" t="s">
        <v>93</v>
      </c>
      <c r="R114" s="20" t="s">
        <v>93</v>
      </c>
      <c r="S114" s="20" t="s">
        <v>93</v>
      </c>
      <c r="T114" s="20" t="s">
        <v>94</v>
      </c>
      <c r="U114" s="20" t="s">
        <v>94</v>
      </c>
      <c r="V114" s="20" t="s">
        <v>94</v>
      </c>
      <c r="W114" s="20" t="s">
        <v>94</v>
      </c>
      <c r="X114" s="20" t="s">
        <v>94</v>
      </c>
      <c r="Y114" s="20" t="s">
        <v>95</v>
      </c>
      <c r="Z114" s="20" t="s">
        <v>95</v>
      </c>
      <c r="AA114" s="20" t="s">
        <v>95</v>
      </c>
      <c r="AB114" s="20" t="s">
        <v>95</v>
      </c>
      <c r="AC114" s="20" t="s">
        <v>95</v>
      </c>
      <c r="AD114" s="20" t="s">
        <v>96</v>
      </c>
      <c r="AE114" s="20" t="s">
        <v>125</v>
      </c>
      <c r="AF114" s="21"/>
    </row>
    <row r="115" customFormat="false" ht="13.5" hidden="false" customHeight="false" outlineLevel="0" collapsed="false">
      <c r="A115" s="2" t="s">
        <v>134</v>
      </c>
      <c r="B115" s="2" t="n">
        <v>111</v>
      </c>
      <c r="C115" s="20" t="n">
        <v>159000</v>
      </c>
      <c r="D115" s="20" t="n">
        <v>525000</v>
      </c>
      <c r="E115" s="17" t="n">
        <v>159003.149</v>
      </c>
      <c r="F115" s="17" t="n">
        <v>525006.103</v>
      </c>
      <c r="G115" s="18" t="n">
        <v>45944.5986458333</v>
      </c>
      <c r="H115" s="19" t="n">
        <v>5.24</v>
      </c>
      <c r="I115" s="19" t="n">
        <v>2.8</v>
      </c>
      <c r="J115" s="19" t="n">
        <v>23</v>
      </c>
      <c r="K115" s="20" t="n">
        <v>0</v>
      </c>
      <c r="L115" s="20" t="s">
        <v>92</v>
      </c>
      <c r="M115" s="20" t="s">
        <v>92</v>
      </c>
      <c r="N115" s="20" t="s">
        <v>92</v>
      </c>
      <c r="O115" s="20" t="s">
        <v>110</v>
      </c>
      <c r="P115" s="20" t="s">
        <v>110</v>
      </c>
      <c r="Q115" s="20" t="s">
        <v>110</v>
      </c>
      <c r="R115" s="20" t="s">
        <v>110</v>
      </c>
      <c r="S115" s="20" t="s">
        <v>93</v>
      </c>
      <c r="T115" s="20" t="s">
        <v>94</v>
      </c>
      <c r="U115" s="20" t="s">
        <v>94</v>
      </c>
      <c r="V115" s="20" t="s">
        <v>94</v>
      </c>
      <c r="W115" s="20" t="s">
        <v>94</v>
      </c>
      <c r="X115" s="20" t="s">
        <v>94</v>
      </c>
      <c r="Y115" s="20" t="s">
        <v>95</v>
      </c>
      <c r="Z115" s="20" t="s">
        <v>95</v>
      </c>
      <c r="AA115" s="20" t="s">
        <v>117</v>
      </c>
      <c r="AB115" s="20" t="s">
        <v>95</v>
      </c>
      <c r="AC115" s="20" t="s">
        <v>93</v>
      </c>
      <c r="AD115" s="20" t="s">
        <v>96</v>
      </c>
      <c r="AE115" s="20" t="s">
        <v>135</v>
      </c>
      <c r="AF115" s="21"/>
    </row>
    <row r="116" customFormat="false" ht="13.5" hidden="false" customHeight="false" outlineLevel="0" collapsed="false">
      <c r="A116" s="2" t="s">
        <v>134</v>
      </c>
      <c r="B116" s="2" t="n">
        <v>112</v>
      </c>
      <c r="C116" s="20" t="n">
        <v>163000</v>
      </c>
      <c r="D116" s="20" t="n">
        <v>525000</v>
      </c>
      <c r="E116" s="17" t="n">
        <v>163010.51</v>
      </c>
      <c r="F116" s="17" t="n">
        <v>525018.162</v>
      </c>
      <c r="G116" s="18" t="n">
        <v>45944.573275463</v>
      </c>
      <c r="H116" s="19" t="n">
        <v>4.92</v>
      </c>
      <c r="I116" s="19" t="n">
        <v>1.2</v>
      </c>
      <c r="J116" s="19" t="n">
        <v>27</v>
      </c>
      <c r="K116" s="20" t="n">
        <v>0</v>
      </c>
      <c r="L116" s="20" t="s">
        <v>92</v>
      </c>
      <c r="M116" s="20" t="s">
        <v>92</v>
      </c>
      <c r="N116" s="20" t="s">
        <v>92</v>
      </c>
      <c r="O116" s="20" t="s">
        <v>93</v>
      </c>
      <c r="P116" s="20" t="s">
        <v>93</v>
      </c>
      <c r="Q116" s="20" t="s">
        <v>93</v>
      </c>
      <c r="R116" s="20" t="s">
        <v>93</v>
      </c>
      <c r="S116" s="20" t="s">
        <v>93</v>
      </c>
      <c r="T116" s="20" t="s">
        <v>99</v>
      </c>
      <c r="U116" s="20" t="s">
        <v>99</v>
      </c>
      <c r="V116" s="20" t="s">
        <v>99</v>
      </c>
      <c r="W116" s="20" t="s">
        <v>99</v>
      </c>
      <c r="X116" s="20" t="s">
        <v>99</v>
      </c>
      <c r="Y116" s="20" t="s">
        <v>95</v>
      </c>
      <c r="Z116" s="20" t="s">
        <v>95</v>
      </c>
      <c r="AA116" s="20" t="s">
        <v>117</v>
      </c>
      <c r="AB116" s="20" t="s">
        <v>95</v>
      </c>
      <c r="AC116" s="20" t="s">
        <v>95</v>
      </c>
      <c r="AD116" s="20" t="s">
        <v>96</v>
      </c>
      <c r="AE116" s="20" t="s">
        <v>135</v>
      </c>
      <c r="AF116" s="21"/>
    </row>
    <row r="117" customFormat="false" ht="13.5" hidden="false" customHeight="false" outlineLevel="0" collapsed="false">
      <c r="A117" s="2" t="s">
        <v>134</v>
      </c>
      <c r="B117" s="2" t="n">
        <v>113</v>
      </c>
      <c r="C117" s="20" t="n">
        <v>167000</v>
      </c>
      <c r="D117" s="20" t="n">
        <v>525000</v>
      </c>
      <c r="E117" s="17" t="n">
        <v>166994.482</v>
      </c>
      <c r="F117" s="17" t="n">
        <v>525002.405</v>
      </c>
      <c r="G117" s="18" t="n">
        <v>45943.6077777778</v>
      </c>
      <c r="H117" s="19" t="n">
        <v>4.2</v>
      </c>
      <c r="I117" s="19" t="n">
        <v>1</v>
      </c>
      <c r="J117" s="19" t="s">
        <v>92</v>
      </c>
      <c r="K117" s="20" t="n">
        <v>0</v>
      </c>
      <c r="L117" s="20" t="n">
        <v>2</v>
      </c>
      <c r="M117" s="20" t="n">
        <v>3</v>
      </c>
      <c r="N117" s="20" t="s">
        <v>92</v>
      </c>
      <c r="O117" s="20" t="s">
        <v>93</v>
      </c>
      <c r="P117" s="20" t="s">
        <v>93</v>
      </c>
      <c r="Q117" s="20" t="s">
        <v>93</v>
      </c>
      <c r="R117" s="20" t="s">
        <v>93</v>
      </c>
      <c r="S117" s="20" t="s">
        <v>93</v>
      </c>
      <c r="T117" s="20" t="s">
        <v>99</v>
      </c>
      <c r="U117" s="20" t="s">
        <v>94</v>
      </c>
      <c r="V117" s="20" t="s">
        <v>94</v>
      </c>
      <c r="W117" s="20" t="s">
        <v>94</v>
      </c>
      <c r="X117" s="20" t="s">
        <v>94</v>
      </c>
      <c r="Y117" s="20" t="s">
        <v>92</v>
      </c>
      <c r="Z117" s="20" t="s">
        <v>92</v>
      </c>
      <c r="AA117" s="20" t="s">
        <v>92</v>
      </c>
      <c r="AB117" s="20" t="s">
        <v>93</v>
      </c>
      <c r="AC117" s="20" t="s">
        <v>92</v>
      </c>
      <c r="AD117" s="20" t="s">
        <v>96</v>
      </c>
      <c r="AE117" s="20" t="s">
        <v>131</v>
      </c>
      <c r="AF117" s="21"/>
    </row>
    <row r="118" customFormat="false" ht="13.5" hidden="false" customHeight="false" outlineLevel="0" collapsed="false">
      <c r="A118" s="2" t="s">
        <v>134</v>
      </c>
      <c r="B118" s="2" t="n">
        <v>114</v>
      </c>
      <c r="C118" s="20" t="n">
        <v>153000</v>
      </c>
      <c r="D118" s="20" t="n">
        <v>523000</v>
      </c>
      <c r="E118" s="17" t="n">
        <v>153011.686</v>
      </c>
      <c r="F118" s="17" t="n">
        <v>523001.601</v>
      </c>
      <c r="G118" s="18" t="n">
        <v>45944.6538773148</v>
      </c>
      <c r="H118" s="19" t="n">
        <v>2.98</v>
      </c>
      <c r="I118" s="19" t="n">
        <v>9.5</v>
      </c>
      <c r="J118" s="19" t="n">
        <v>12.5</v>
      </c>
      <c r="K118" s="20" t="n">
        <v>0</v>
      </c>
      <c r="L118" s="20" t="n">
        <v>13</v>
      </c>
      <c r="M118" s="20" t="n">
        <v>92</v>
      </c>
      <c r="N118" s="20" t="s">
        <v>92</v>
      </c>
      <c r="O118" s="20" t="s">
        <v>93</v>
      </c>
      <c r="P118" s="20" t="s">
        <v>93</v>
      </c>
      <c r="Q118" s="20" t="s">
        <v>93</v>
      </c>
      <c r="R118" s="20" t="s">
        <v>93</v>
      </c>
      <c r="S118" s="20" t="s">
        <v>93</v>
      </c>
      <c r="T118" s="20" t="s">
        <v>94</v>
      </c>
      <c r="U118" s="20" t="s">
        <v>94</v>
      </c>
      <c r="V118" s="20" t="s">
        <v>94</v>
      </c>
      <c r="W118" s="20" t="s">
        <v>94</v>
      </c>
      <c r="X118" s="20" t="s">
        <v>94</v>
      </c>
      <c r="Y118" s="20" t="s">
        <v>95</v>
      </c>
      <c r="Z118" s="20" t="s">
        <v>117</v>
      </c>
      <c r="AA118" s="20" t="s">
        <v>95</v>
      </c>
      <c r="AB118" s="20" t="s">
        <v>95</v>
      </c>
      <c r="AC118" s="20" t="s">
        <v>117</v>
      </c>
      <c r="AD118" s="20" t="s">
        <v>96</v>
      </c>
      <c r="AE118" s="20" t="s">
        <v>135</v>
      </c>
      <c r="AF118" s="21"/>
    </row>
    <row r="119" customFormat="false" ht="13.5" hidden="false" customHeight="false" outlineLevel="0" collapsed="false">
      <c r="A119" s="2" t="s">
        <v>134</v>
      </c>
      <c r="B119" s="2" t="n">
        <v>115</v>
      </c>
      <c r="C119" s="20" t="n">
        <v>157000</v>
      </c>
      <c r="D119" s="20" t="n">
        <v>523000</v>
      </c>
      <c r="E119" s="17" t="n">
        <v>157011.912</v>
      </c>
      <c r="F119" s="17" t="n">
        <v>523008.185</v>
      </c>
      <c r="G119" s="18" t="n">
        <v>45944.6178240741</v>
      </c>
      <c r="H119" s="19" t="n">
        <v>4.6</v>
      </c>
      <c r="I119" s="19" t="n">
        <v>4.5</v>
      </c>
      <c r="J119" s="19" t="n">
        <v>52</v>
      </c>
      <c r="K119" s="20" t="n">
        <v>0</v>
      </c>
      <c r="L119" s="20" t="s">
        <v>92</v>
      </c>
      <c r="M119" s="20" t="s">
        <v>92</v>
      </c>
      <c r="N119" s="20" t="s">
        <v>92</v>
      </c>
      <c r="O119" s="20" t="s">
        <v>93</v>
      </c>
      <c r="P119" s="20" t="s">
        <v>110</v>
      </c>
      <c r="Q119" s="20" t="s">
        <v>110</v>
      </c>
      <c r="R119" s="20" t="s">
        <v>110</v>
      </c>
      <c r="S119" s="20" t="s">
        <v>93</v>
      </c>
      <c r="T119" s="20" t="s">
        <v>94</v>
      </c>
      <c r="U119" s="20" t="s">
        <v>94</v>
      </c>
      <c r="V119" s="20" t="s">
        <v>94</v>
      </c>
      <c r="W119" s="20" t="s">
        <v>94</v>
      </c>
      <c r="X119" s="20" t="s">
        <v>94</v>
      </c>
      <c r="Y119" s="20" t="s">
        <v>92</v>
      </c>
      <c r="Z119" s="20" t="s">
        <v>117</v>
      </c>
      <c r="AA119" s="20" t="s">
        <v>95</v>
      </c>
      <c r="AB119" s="20" t="s">
        <v>95</v>
      </c>
      <c r="AC119" s="20" t="s">
        <v>95</v>
      </c>
      <c r="AD119" s="20" t="s">
        <v>96</v>
      </c>
      <c r="AE119" s="20" t="s">
        <v>135</v>
      </c>
      <c r="AF119" s="21"/>
    </row>
    <row r="120" customFormat="false" ht="13.5" hidden="false" customHeight="false" outlineLevel="0" collapsed="false">
      <c r="A120" s="2" t="s">
        <v>134</v>
      </c>
      <c r="B120" s="2" t="n">
        <v>116</v>
      </c>
      <c r="C120" s="20" t="n">
        <v>161000</v>
      </c>
      <c r="D120" s="20" t="n">
        <v>523000</v>
      </c>
      <c r="E120" s="17" t="n">
        <v>161020.542</v>
      </c>
      <c r="F120" s="17" t="n">
        <v>522992.127</v>
      </c>
      <c r="G120" s="18" t="n">
        <v>45944.5560532407</v>
      </c>
      <c r="H120" s="19" t="n">
        <v>4.24</v>
      </c>
      <c r="I120" s="19" t="n">
        <v>0.1</v>
      </c>
      <c r="J120" s="19" t="s">
        <v>92</v>
      </c>
      <c r="K120" s="20" t="n">
        <v>0</v>
      </c>
      <c r="L120" s="20" t="n">
        <v>1.5</v>
      </c>
      <c r="M120" s="20" t="n">
        <v>4</v>
      </c>
      <c r="N120" s="20" t="s">
        <v>92</v>
      </c>
      <c r="O120" s="20" t="s">
        <v>93</v>
      </c>
      <c r="P120" s="20" t="s">
        <v>93</v>
      </c>
      <c r="Q120" s="20" t="s">
        <v>93</v>
      </c>
      <c r="R120" s="20" t="s">
        <v>93</v>
      </c>
      <c r="S120" s="20" t="s">
        <v>93</v>
      </c>
      <c r="T120" s="20" t="s">
        <v>99</v>
      </c>
      <c r="U120" s="20" t="s">
        <v>94</v>
      </c>
      <c r="V120" s="20" t="s">
        <v>94</v>
      </c>
      <c r="W120" s="20" t="s">
        <v>94</v>
      </c>
      <c r="X120" s="20" t="s">
        <v>94</v>
      </c>
      <c r="Y120" s="20" t="s">
        <v>92</v>
      </c>
      <c r="Z120" s="20" t="s">
        <v>92</v>
      </c>
      <c r="AA120" s="20" t="s">
        <v>92</v>
      </c>
      <c r="AB120" s="20" t="s">
        <v>92</v>
      </c>
      <c r="AC120" s="20" t="s">
        <v>92</v>
      </c>
      <c r="AD120" s="20" t="s">
        <v>96</v>
      </c>
      <c r="AE120" s="20" t="s">
        <v>135</v>
      </c>
      <c r="AF120" s="21"/>
    </row>
    <row r="121" customFormat="false" ht="13.5" hidden="false" customHeight="false" outlineLevel="0" collapsed="false">
      <c r="A121" s="2" t="s">
        <v>134</v>
      </c>
      <c r="B121" s="2" t="n">
        <v>117</v>
      </c>
      <c r="C121" s="20" t="n">
        <v>165000</v>
      </c>
      <c r="D121" s="20" t="n">
        <v>523000</v>
      </c>
      <c r="E121" s="17" t="n">
        <v>165003.409</v>
      </c>
      <c r="F121" s="17" t="n">
        <v>522995.55</v>
      </c>
      <c r="G121" s="18" t="n">
        <v>45943.6246875</v>
      </c>
      <c r="H121" s="19" t="n">
        <v>4.84</v>
      </c>
      <c r="I121" s="19" t="n">
        <v>1</v>
      </c>
      <c r="J121" s="19" t="n">
        <v>12.5</v>
      </c>
      <c r="K121" s="20" t="n">
        <v>0</v>
      </c>
      <c r="L121" s="20" t="s">
        <v>92</v>
      </c>
      <c r="M121" s="20" t="s">
        <v>92</v>
      </c>
      <c r="N121" s="20" t="s">
        <v>92</v>
      </c>
      <c r="O121" s="20" t="s">
        <v>93</v>
      </c>
      <c r="P121" s="20" t="s">
        <v>93</v>
      </c>
      <c r="Q121" s="20" t="s">
        <v>93</v>
      </c>
      <c r="R121" s="20" t="s">
        <v>93</v>
      </c>
      <c r="S121" s="20" t="s">
        <v>93</v>
      </c>
      <c r="T121" s="20" t="s">
        <v>94</v>
      </c>
      <c r="U121" s="20" t="s">
        <v>94</v>
      </c>
      <c r="V121" s="20" t="s">
        <v>94</v>
      </c>
      <c r="W121" s="20" t="s">
        <v>94</v>
      </c>
      <c r="X121" s="20" t="s">
        <v>94</v>
      </c>
      <c r="Y121" s="20" t="s">
        <v>93</v>
      </c>
      <c r="Z121" s="20" t="s">
        <v>92</v>
      </c>
      <c r="AA121" s="20" t="s">
        <v>92</v>
      </c>
      <c r="AB121" s="20" t="s">
        <v>93</v>
      </c>
      <c r="AC121" s="20" t="s">
        <v>117</v>
      </c>
      <c r="AD121" s="20" t="s">
        <v>96</v>
      </c>
      <c r="AE121" s="20" t="s">
        <v>131</v>
      </c>
      <c r="AF121" s="21"/>
    </row>
    <row r="122" customFormat="false" ht="13.5" hidden="false" customHeight="false" outlineLevel="0" collapsed="false">
      <c r="A122" s="2" t="s">
        <v>134</v>
      </c>
      <c r="B122" s="2" t="n">
        <v>118</v>
      </c>
      <c r="C122" s="20" t="n">
        <v>168700</v>
      </c>
      <c r="D122" s="20" t="n">
        <v>523000</v>
      </c>
      <c r="E122" s="17" t="n">
        <v>168699.131</v>
      </c>
      <c r="F122" s="17" t="n">
        <v>523010.084</v>
      </c>
      <c r="G122" s="18" t="n">
        <v>45943.5144212963</v>
      </c>
      <c r="H122" s="19" t="n">
        <v>3.84</v>
      </c>
      <c r="I122" s="19" t="n">
        <v>37</v>
      </c>
      <c r="J122" s="19" t="n">
        <v>115</v>
      </c>
      <c r="K122" s="20" t="n">
        <v>0</v>
      </c>
      <c r="L122" s="20" t="n">
        <v>1.5</v>
      </c>
      <c r="M122" s="20" t="n">
        <v>2</v>
      </c>
      <c r="N122" s="20" t="s">
        <v>92</v>
      </c>
      <c r="O122" s="20" t="s">
        <v>110</v>
      </c>
      <c r="P122" s="20" t="s">
        <v>93</v>
      </c>
      <c r="Q122" s="20" t="s">
        <v>93</v>
      </c>
      <c r="R122" s="20" t="s">
        <v>93</v>
      </c>
      <c r="S122" s="20" t="s">
        <v>93</v>
      </c>
      <c r="T122" s="20" t="s">
        <v>105</v>
      </c>
      <c r="U122" s="20" t="s">
        <v>105</v>
      </c>
      <c r="V122" s="20" t="s">
        <v>105</v>
      </c>
      <c r="W122" s="20" t="s">
        <v>105</v>
      </c>
      <c r="X122" s="20" t="s">
        <v>105</v>
      </c>
      <c r="Y122" s="20" t="s">
        <v>95</v>
      </c>
      <c r="Z122" s="20" t="s">
        <v>95</v>
      </c>
      <c r="AA122" s="20" t="s">
        <v>95</v>
      </c>
      <c r="AB122" s="20" t="s">
        <v>95</v>
      </c>
      <c r="AC122" s="20" t="s">
        <v>95</v>
      </c>
      <c r="AD122" s="20" t="s">
        <v>96</v>
      </c>
      <c r="AE122" s="20" t="s">
        <v>131</v>
      </c>
      <c r="AF122" s="21"/>
    </row>
    <row r="123" customFormat="false" ht="13.5" hidden="false" customHeight="false" outlineLevel="0" collapsed="false">
      <c r="A123" s="2" t="s">
        <v>134</v>
      </c>
      <c r="B123" s="2" t="n">
        <v>119</v>
      </c>
      <c r="C123" s="20" t="n">
        <v>155000</v>
      </c>
      <c r="D123" s="20" t="n">
        <v>521000</v>
      </c>
      <c r="E123" s="17" t="n">
        <v>155024.457</v>
      </c>
      <c r="F123" s="17" t="n">
        <v>520997.291</v>
      </c>
      <c r="G123" s="18" t="n">
        <v>45944.6352662037</v>
      </c>
      <c r="H123" s="19" t="n">
        <v>2.92</v>
      </c>
      <c r="I123" s="19" t="n">
        <v>4.5</v>
      </c>
      <c r="J123" s="19" t="n">
        <v>10.5</v>
      </c>
      <c r="K123" s="20" t="n">
        <v>0</v>
      </c>
      <c r="L123" s="20" t="n">
        <v>3</v>
      </c>
      <c r="M123" s="20" t="n">
        <v>13</v>
      </c>
      <c r="N123" s="20" t="s">
        <v>92</v>
      </c>
      <c r="O123" s="20" t="s">
        <v>93</v>
      </c>
      <c r="P123" s="20" t="s">
        <v>93</v>
      </c>
      <c r="Q123" s="20" t="s">
        <v>93</v>
      </c>
      <c r="R123" s="20" t="s">
        <v>93</v>
      </c>
      <c r="S123" s="20" t="s">
        <v>93</v>
      </c>
      <c r="T123" s="20" t="s">
        <v>94</v>
      </c>
      <c r="U123" s="20" t="s">
        <v>94</v>
      </c>
      <c r="V123" s="20" t="s">
        <v>94</v>
      </c>
      <c r="W123" s="20" t="s">
        <v>94</v>
      </c>
      <c r="X123" s="20" t="s">
        <v>94</v>
      </c>
      <c r="Y123" s="20" t="s">
        <v>95</v>
      </c>
      <c r="Z123" s="20" t="s">
        <v>95</v>
      </c>
      <c r="AA123" s="20" t="s">
        <v>93</v>
      </c>
      <c r="AB123" s="20" t="s">
        <v>93</v>
      </c>
      <c r="AC123" s="20" t="s">
        <v>95</v>
      </c>
      <c r="AD123" s="20" t="s">
        <v>96</v>
      </c>
      <c r="AE123" s="20" t="s">
        <v>135</v>
      </c>
      <c r="AF123" s="21"/>
    </row>
    <row r="124" customFormat="false" ht="13.5" hidden="false" customHeight="false" outlineLevel="0" collapsed="false">
      <c r="A124" s="2" t="s">
        <v>134</v>
      </c>
      <c r="B124" s="2" t="n">
        <v>120</v>
      </c>
      <c r="C124" s="20" t="n">
        <v>159000</v>
      </c>
      <c r="D124" s="20" t="n">
        <v>521000</v>
      </c>
      <c r="E124" s="17" t="n">
        <v>159012.2</v>
      </c>
      <c r="F124" s="17" t="n">
        <v>520987.818</v>
      </c>
      <c r="G124" s="18" t="n">
        <v>45944.5381481481</v>
      </c>
      <c r="H124" s="19" t="n">
        <v>3.24</v>
      </c>
      <c r="I124" s="19" t="n">
        <v>7.5</v>
      </c>
      <c r="J124" s="19" t="n">
        <v>25</v>
      </c>
      <c r="K124" s="20" t="n">
        <v>0</v>
      </c>
      <c r="L124" s="20" t="n">
        <v>2.5</v>
      </c>
      <c r="M124" s="20" t="n">
        <v>8</v>
      </c>
      <c r="N124" s="20" t="s">
        <v>92</v>
      </c>
      <c r="O124" s="20" t="s">
        <v>93</v>
      </c>
      <c r="P124" s="20" t="s">
        <v>93</v>
      </c>
      <c r="Q124" s="20" t="s">
        <v>93</v>
      </c>
      <c r="R124" s="20" t="s">
        <v>93</v>
      </c>
      <c r="S124" s="20" t="s">
        <v>93</v>
      </c>
      <c r="T124" s="20" t="s">
        <v>94</v>
      </c>
      <c r="U124" s="20" t="s">
        <v>94</v>
      </c>
      <c r="V124" s="20" t="s">
        <v>94</v>
      </c>
      <c r="W124" s="20" t="s">
        <v>94</v>
      </c>
      <c r="X124" s="20" t="s">
        <v>94</v>
      </c>
      <c r="Y124" s="20" t="s">
        <v>95</v>
      </c>
      <c r="Z124" s="20" t="s">
        <v>95</v>
      </c>
      <c r="AA124" s="20" t="s">
        <v>95</v>
      </c>
      <c r="AB124" s="20" t="s">
        <v>95</v>
      </c>
      <c r="AC124" s="20" t="s">
        <v>117</v>
      </c>
      <c r="AD124" s="20" t="s">
        <v>96</v>
      </c>
      <c r="AE124" s="20" t="s">
        <v>135</v>
      </c>
      <c r="AF124" s="21"/>
    </row>
    <row r="125" customFormat="false" ht="13.5" hidden="false" customHeight="false" outlineLevel="0" collapsed="false">
      <c r="A125" s="2" t="s">
        <v>134</v>
      </c>
      <c r="B125" s="2" t="n">
        <v>121</v>
      </c>
      <c r="C125" s="20" t="n">
        <v>163000</v>
      </c>
      <c r="D125" s="20" t="n">
        <v>521000</v>
      </c>
      <c r="E125" s="17" t="n">
        <v>162993.237</v>
      </c>
      <c r="F125" s="17" t="n">
        <v>520997.611</v>
      </c>
      <c r="G125" s="18" t="n">
        <v>45943.6413078704</v>
      </c>
      <c r="H125" s="19" t="n">
        <v>8</v>
      </c>
      <c r="I125" s="19" t="n">
        <v>0.8</v>
      </c>
      <c r="J125" s="19" t="n">
        <v>17</v>
      </c>
      <c r="K125" s="20" t="n">
        <v>0</v>
      </c>
      <c r="L125" s="20" t="n">
        <v>0.1</v>
      </c>
      <c r="M125" s="20" t="n">
        <v>1</v>
      </c>
      <c r="N125" s="20" t="s">
        <v>92</v>
      </c>
      <c r="O125" s="20" t="s">
        <v>93</v>
      </c>
      <c r="P125" s="20" t="s">
        <v>115</v>
      </c>
      <c r="Q125" s="20" t="s">
        <v>98</v>
      </c>
      <c r="R125" s="20" t="s">
        <v>101</v>
      </c>
      <c r="S125" s="20" t="s">
        <v>115</v>
      </c>
      <c r="T125" s="20" t="s">
        <v>94</v>
      </c>
      <c r="U125" s="20" t="s">
        <v>116</v>
      </c>
      <c r="V125" s="20" t="s">
        <v>100</v>
      </c>
      <c r="W125" s="20" t="s">
        <v>102</v>
      </c>
      <c r="X125" s="20" t="s">
        <v>116</v>
      </c>
      <c r="Y125" s="20" t="s">
        <v>95</v>
      </c>
      <c r="Z125" s="20" t="s">
        <v>117</v>
      </c>
      <c r="AA125" s="20" t="s">
        <v>92</v>
      </c>
      <c r="AB125" s="20" t="s">
        <v>92</v>
      </c>
      <c r="AC125" s="20" t="s">
        <v>92</v>
      </c>
      <c r="AD125" s="20" t="s">
        <v>96</v>
      </c>
      <c r="AE125" s="20" t="s">
        <v>131</v>
      </c>
      <c r="AF125" s="21"/>
    </row>
    <row r="126" customFormat="false" ht="13.5" hidden="false" customHeight="false" outlineLevel="0" collapsed="false">
      <c r="A126" s="2" t="s">
        <v>134</v>
      </c>
      <c r="B126" s="2" t="n">
        <v>122</v>
      </c>
      <c r="C126" s="20" t="n">
        <v>167000</v>
      </c>
      <c r="D126" s="20" t="n">
        <v>521000</v>
      </c>
      <c r="E126" s="17" t="n">
        <v>167002.224</v>
      </c>
      <c r="F126" s="17" t="n">
        <v>520999.029</v>
      </c>
      <c r="G126" s="18" t="n">
        <v>45943.4971296296</v>
      </c>
      <c r="H126" s="19" t="n">
        <v>4.96</v>
      </c>
      <c r="I126" s="19" t="n">
        <v>4.5</v>
      </c>
      <c r="J126" s="19" t="n">
        <v>59</v>
      </c>
      <c r="K126" s="20" t="n">
        <v>0</v>
      </c>
      <c r="L126" s="20" t="n">
        <v>2</v>
      </c>
      <c r="M126" s="20" t="n">
        <v>5</v>
      </c>
      <c r="N126" s="20" t="s">
        <v>92</v>
      </c>
      <c r="O126" s="20" t="s">
        <v>110</v>
      </c>
      <c r="P126" s="20" t="s">
        <v>93</v>
      </c>
      <c r="Q126" s="20" t="s">
        <v>110</v>
      </c>
      <c r="R126" s="20" t="s">
        <v>93</v>
      </c>
      <c r="S126" s="20" t="s">
        <v>93</v>
      </c>
      <c r="T126" s="20" t="s">
        <v>105</v>
      </c>
      <c r="U126" s="20" t="s">
        <v>105</v>
      </c>
      <c r="V126" s="20" t="s">
        <v>105</v>
      </c>
      <c r="W126" s="20" t="s">
        <v>105</v>
      </c>
      <c r="X126" s="20" t="s">
        <v>105</v>
      </c>
      <c r="Y126" s="20" t="s">
        <v>95</v>
      </c>
      <c r="Z126" s="20" t="s">
        <v>92</v>
      </c>
      <c r="AA126" s="20" t="s">
        <v>95</v>
      </c>
      <c r="AB126" s="20" t="s">
        <v>95</v>
      </c>
      <c r="AC126" s="20" t="s">
        <v>92</v>
      </c>
      <c r="AD126" s="20" t="s">
        <v>96</v>
      </c>
      <c r="AE126" s="20" t="s">
        <v>131</v>
      </c>
      <c r="AF126" s="21"/>
    </row>
    <row r="127" customFormat="false" ht="13.5" hidden="false" customHeight="false" outlineLevel="0" collapsed="false">
      <c r="A127" s="2" t="s">
        <v>134</v>
      </c>
      <c r="B127" s="2" t="n">
        <v>123</v>
      </c>
      <c r="C127" s="20" t="n">
        <v>157000</v>
      </c>
      <c r="D127" s="20" t="n">
        <v>519000</v>
      </c>
      <c r="E127" s="17" t="n">
        <v>157003.362</v>
      </c>
      <c r="F127" s="17" t="n">
        <v>518981.341</v>
      </c>
      <c r="G127" s="18" t="n">
        <v>45944.5158217593</v>
      </c>
      <c r="H127" s="19" t="n">
        <v>1.96</v>
      </c>
      <c r="I127" s="19" t="n">
        <v>0.6</v>
      </c>
      <c r="J127" s="19" t="n">
        <v>2</v>
      </c>
      <c r="K127" s="20" t="n">
        <v>0</v>
      </c>
      <c r="L127" s="20" t="n">
        <v>14</v>
      </c>
      <c r="M127" s="20" t="n">
        <v>29</v>
      </c>
      <c r="N127" s="20" t="s">
        <v>92</v>
      </c>
      <c r="O127" s="20" t="s">
        <v>93</v>
      </c>
      <c r="P127" s="20" t="s">
        <v>93</v>
      </c>
      <c r="Q127" s="20" t="s">
        <v>93</v>
      </c>
      <c r="R127" s="20" t="s">
        <v>93</v>
      </c>
      <c r="S127" s="20" t="s">
        <v>93</v>
      </c>
      <c r="T127" s="20" t="s">
        <v>94</v>
      </c>
      <c r="U127" s="20" t="s">
        <v>94</v>
      </c>
      <c r="V127" s="20" t="s">
        <v>94</v>
      </c>
      <c r="W127" s="20" t="s">
        <v>94</v>
      </c>
      <c r="X127" s="20" t="s">
        <v>94</v>
      </c>
      <c r="Y127" s="20" t="s">
        <v>92</v>
      </c>
      <c r="Z127" s="20" t="s">
        <v>92</v>
      </c>
      <c r="AA127" s="20" t="s">
        <v>92</v>
      </c>
      <c r="AB127" s="20" t="s">
        <v>92</v>
      </c>
      <c r="AC127" s="20" t="s">
        <v>92</v>
      </c>
      <c r="AD127" s="20" t="s">
        <v>96</v>
      </c>
      <c r="AE127" s="20" t="s">
        <v>135</v>
      </c>
      <c r="AF127" s="21"/>
    </row>
    <row r="128" customFormat="false" ht="13.5" hidden="false" customHeight="false" outlineLevel="0" collapsed="false">
      <c r="A128" s="2" t="s">
        <v>134</v>
      </c>
      <c r="B128" s="2" t="n">
        <v>124</v>
      </c>
      <c r="C128" s="20" t="n">
        <v>161000</v>
      </c>
      <c r="D128" s="20" t="n">
        <v>519000</v>
      </c>
      <c r="E128" s="17" t="n">
        <v>160999.268</v>
      </c>
      <c r="F128" s="17" t="n">
        <v>519012.658</v>
      </c>
      <c r="G128" s="18" t="n">
        <v>45944.4917939815</v>
      </c>
      <c r="H128" s="19" t="n">
        <v>2.66</v>
      </c>
      <c r="I128" s="19" t="n">
        <v>0.8</v>
      </c>
      <c r="J128" s="19" t="n">
        <v>0.7</v>
      </c>
      <c r="K128" s="20" t="n">
        <v>0</v>
      </c>
      <c r="L128" s="20" t="n">
        <v>26</v>
      </c>
      <c r="M128" s="20" t="n">
        <v>40</v>
      </c>
      <c r="N128" s="20" t="s">
        <v>92</v>
      </c>
      <c r="O128" s="20" t="s">
        <v>93</v>
      </c>
      <c r="P128" s="20" t="s">
        <v>93</v>
      </c>
      <c r="Q128" s="20" t="s">
        <v>93</v>
      </c>
      <c r="R128" s="20" t="s">
        <v>93</v>
      </c>
      <c r="S128" s="20" t="s">
        <v>93</v>
      </c>
      <c r="T128" s="20" t="s">
        <v>99</v>
      </c>
      <c r="U128" s="20" t="s">
        <v>99</v>
      </c>
      <c r="V128" s="20" t="s">
        <v>99</v>
      </c>
      <c r="W128" s="20" t="s">
        <v>99</v>
      </c>
      <c r="X128" s="20" t="s">
        <v>99</v>
      </c>
      <c r="Y128" s="20" t="s">
        <v>92</v>
      </c>
      <c r="Z128" s="20" t="s">
        <v>92</v>
      </c>
      <c r="AA128" s="20" t="s">
        <v>92</v>
      </c>
      <c r="AB128" s="20" t="s">
        <v>92</v>
      </c>
      <c r="AC128" s="20" t="s">
        <v>92</v>
      </c>
      <c r="AD128" s="20" t="s">
        <v>96</v>
      </c>
      <c r="AE128" s="20" t="s">
        <v>135</v>
      </c>
      <c r="AF128" s="21"/>
    </row>
    <row r="129" customFormat="false" ht="13.5" hidden="false" customHeight="false" outlineLevel="0" collapsed="false">
      <c r="A129" s="2" t="s">
        <v>134</v>
      </c>
      <c r="B129" s="2" t="n">
        <v>125</v>
      </c>
      <c r="C129" s="20" t="n">
        <v>165000</v>
      </c>
      <c r="D129" s="20" t="n">
        <v>519000</v>
      </c>
      <c r="E129" s="17" t="n">
        <v>164996.566</v>
      </c>
      <c r="F129" s="17" t="n">
        <v>519004.18</v>
      </c>
      <c r="G129" s="18" t="n">
        <v>45943.4779976852</v>
      </c>
      <c r="H129" s="19" t="n">
        <v>9.58</v>
      </c>
      <c r="I129" s="19" t="s">
        <v>92</v>
      </c>
      <c r="J129" s="19" t="s">
        <v>92</v>
      </c>
      <c r="K129" s="20" t="n">
        <v>0</v>
      </c>
      <c r="L129" s="20" t="s">
        <v>92</v>
      </c>
      <c r="M129" s="20" t="s">
        <v>92</v>
      </c>
      <c r="N129" s="20" t="s">
        <v>92</v>
      </c>
      <c r="O129" s="20" t="s">
        <v>101</v>
      </c>
      <c r="P129" s="20" t="s">
        <v>101</v>
      </c>
      <c r="Q129" s="20" t="s">
        <v>101</v>
      </c>
      <c r="R129" s="20" t="s">
        <v>101</v>
      </c>
      <c r="S129" s="20" t="s">
        <v>101</v>
      </c>
      <c r="T129" s="20" t="s">
        <v>102</v>
      </c>
      <c r="U129" s="20" t="s">
        <v>102</v>
      </c>
      <c r="V129" s="20" t="s">
        <v>102</v>
      </c>
      <c r="W129" s="20" t="s">
        <v>102</v>
      </c>
      <c r="X129" s="20" t="s">
        <v>102</v>
      </c>
      <c r="Y129" s="20" t="s">
        <v>92</v>
      </c>
      <c r="Z129" s="20" t="s">
        <v>92</v>
      </c>
      <c r="AA129" s="20" t="s">
        <v>92</v>
      </c>
      <c r="AB129" s="20" t="s">
        <v>92</v>
      </c>
      <c r="AC129" s="20" t="s">
        <v>92</v>
      </c>
      <c r="AD129" s="20" t="s">
        <v>96</v>
      </c>
      <c r="AE129" s="20" t="s">
        <v>131</v>
      </c>
      <c r="AF129" s="21"/>
    </row>
    <row r="130" customFormat="false" ht="13.5" hidden="false" customHeight="false" outlineLevel="0" collapsed="false">
      <c r="A130" s="2" t="s">
        <v>134</v>
      </c>
      <c r="B130" s="2" t="n">
        <v>126</v>
      </c>
      <c r="C130" s="20" t="n">
        <v>169200</v>
      </c>
      <c r="D130" s="20" t="n">
        <v>518800</v>
      </c>
      <c r="E130" s="17" t="n">
        <v>169189.615</v>
      </c>
      <c r="F130" s="17" t="n">
        <v>518794.457</v>
      </c>
      <c r="G130" s="18" t="n">
        <v>45943.3522453704</v>
      </c>
      <c r="H130" s="19" t="n">
        <v>2.7</v>
      </c>
      <c r="I130" s="19" t="n">
        <v>1</v>
      </c>
      <c r="J130" s="19" t="n">
        <v>4</v>
      </c>
      <c r="K130" s="20" t="n">
        <v>0</v>
      </c>
      <c r="L130" s="20" t="n">
        <v>0.4</v>
      </c>
      <c r="M130" s="20" t="n">
        <v>1</v>
      </c>
      <c r="N130" s="20" t="s">
        <v>92</v>
      </c>
      <c r="O130" s="20" t="s">
        <v>93</v>
      </c>
      <c r="P130" s="20" t="s">
        <v>93</v>
      </c>
      <c r="Q130" s="20" t="s">
        <v>93</v>
      </c>
      <c r="R130" s="20" t="s">
        <v>93</v>
      </c>
      <c r="S130" s="20" t="s">
        <v>93</v>
      </c>
      <c r="T130" s="20" t="s">
        <v>128</v>
      </c>
      <c r="U130" s="20" t="s">
        <v>128</v>
      </c>
      <c r="V130" s="20" t="s">
        <v>128</v>
      </c>
      <c r="W130" s="20" t="s">
        <v>128</v>
      </c>
      <c r="X130" s="20" t="s">
        <v>128</v>
      </c>
      <c r="Y130" s="20" t="s">
        <v>95</v>
      </c>
      <c r="Z130" s="20" t="s">
        <v>92</v>
      </c>
      <c r="AA130" s="20" t="s">
        <v>92</v>
      </c>
      <c r="AB130" s="20" t="s">
        <v>121</v>
      </c>
      <c r="AC130" s="20" t="s">
        <v>110</v>
      </c>
      <c r="AD130" s="20" t="s">
        <v>96</v>
      </c>
      <c r="AE130" s="20" t="s">
        <v>131</v>
      </c>
      <c r="AF130" s="21" t="s">
        <v>136</v>
      </c>
    </row>
    <row r="131" customFormat="false" ht="13.5" hidden="false" customHeight="false" outlineLevel="0" collapsed="false">
      <c r="A131" s="2" t="s">
        <v>134</v>
      </c>
      <c r="B131" s="2" t="n">
        <v>127</v>
      </c>
      <c r="C131" s="20" t="n">
        <v>159000</v>
      </c>
      <c r="D131" s="20" t="n">
        <v>517000</v>
      </c>
      <c r="E131" s="17" t="n">
        <v>159023.203</v>
      </c>
      <c r="F131" s="17" t="n">
        <v>516992.493</v>
      </c>
      <c r="G131" s="18" t="n">
        <v>45944.3477083333</v>
      </c>
      <c r="H131" s="19" t="n">
        <v>3.5</v>
      </c>
      <c r="I131" s="19" t="n">
        <v>14</v>
      </c>
      <c r="J131" s="19" t="n">
        <v>94</v>
      </c>
      <c r="K131" s="20" t="n">
        <v>0</v>
      </c>
      <c r="L131" s="20" t="s">
        <v>92</v>
      </c>
      <c r="M131" s="20" t="s">
        <v>92</v>
      </c>
      <c r="N131" s="20" t="s">
        <v>92</v>
      </c>
      <c r="O131" s="20" t="s">
        <v>98</v>
      </c>
      <c r="P131" s="20" t="s">
        <v>98</v>
      </c>
      <c r="Q131" s="20" t="s">
        <v>98</v>
      </c>
      <c r="R131" s="20" t="s">
        <v>98</v>
      </c>
      <c r="S131" s="20" t="s">
        <v>98</v>
      </c>
      <c r="T131" s="20" t="s">
        <v>100</v>
      </c>
      <c r="U131" s="20" t="s">
        <v>100</v>
      </c>
      <c r="V131" s="20" t="s">
        <v>100</v>
      </c>
      <c r="W131" s="20" t="s">
        <v>100</v>
      </c>
      <c r="X131" s="20" t="s">
        <v>100</v>
      </c>
      <c r="Y131" s="20" t="s">
        <v>95</v>
      </c>
      <c r="Z131" s="20" t="s">
        <v>95</v>
      </c>
      <c r="AA131" s="20" t="s">
        <v>92</v>
      </c>
      <c r="AB131" s="20" t="s">
        <v>95</v>
      </c>
      <c r="AC131" s="20" t="s">
        <v>95</v>
      </c>
      <c r="AD131" s="20" t="s">
        <v>109</v>
      </c>
      <c r="AE131" s="20" t="s">
        <v>135</v>
      </c>
      <c r="AF131" s="21"/>
    </row>
    <row r="132" customFormat="false" ht="13.5" hidden="false" customHeight="false" outlineLevel="0" collapsed="false">
      <c r="A132" s="2" t="s">
        <v>134</v>
      </c>
      <c r="B132" s="2" t="n">
        <v>128</v>
      </c>
      <c r="C132" s="20" t="n">
        <v>163000</v>
      </c>
      <c r="D132" s="20" t="n">
        <v>517000</v>
      </c>
      <c r="E132" s="17" t="n">
        <v>163003.442</v>
      </c>
      <c r="F132" s="17" t="n">
        <v>516995.945</v>
      </c>
      <c r="G132" s="18" t="n">
        <v>45944.4733101852</v>
      </c>
      <c r="H132" s="19" t="n">
        <v>3.8</v>
      </c>
      <c r="I132" s="19" t="n">
        <v>15</v>
      </c>
      <c r="J132" s="19" t="n">
        <v>178</v>
      </c>
      <c r="K132" s="20" t="n">
        <v>0</v>
      </c>
      <c r="L132" s="20" t="s">
        <v>92</v>
      </c>
      <c r="M132" s="20" t="s">
        <v>92</v>
      </c>
      <c r="N132" s="20" t="s">
        <v>92</v>
      </c>
      <c r="O132" s="20" t="s">
        <v>110</v>
      </c>
      <c r="P132" s="20" t="s">
        <v>93</v>
      </c>
      <c r="Q132" s="20" t="s">
        <v>93</v>
      </c>
      <c r="R132" s="20" t="s">
        <v>93</v>
      </c>
      <c r="S132" s="20" t="s">
        <v>93</v>
      </c>
      <c r="T132" s="20" t="s">
        <v>94</v>
      </c>
      <c r="U132" s="20" t="s">
        <v>94</v>
      </c>
      <c r="V132" s="20" t="s">
        <v>94</v>
      </c>
      <c r="W132" s="20" t="s">
        <v>94</v>
      </c>
      <c r="X132" s="20" t="s">
        <v>94</v>
      </c>
      <c r="Y132" s="20" t="s">
        <v>95</v>
      </c>
      <c r="Z132" s="20" t="s">
        <v>95</v>
      </c>
      <c r="AA132" s="20" t="s">
        <v>95</v>
      </c>
      <c r="AB132" s="20" t="s">
        <v>95</v>
      </c>
      <c r="AC132" s="20" t="s">
        <v>95</v>
      </c>
      <c r="AD132" s="20" t="s">
        <v>109</v>
      </c>
      <c r="AE132" s="20" t="s">
        <v>135</v>
      </c>
      <c r="AF132" s="21"/>
    </row>
    <row r="133" customFormat="false" ht="13.5" hidden="false" customHeight="false" outlineLevel="0" collapsed="false">
      <c r="A133" s="2" t="s">
        <v>134</v>
      </c>
      <c r="B133" s="2" t="n">
        <v>129</v>
      </c>
      <c r="C133" s="20" t="n">
        <v>167000</v>
      </c>
      <c r="D133" s="20" t="n">
        <v>517000</v>
      </c>
      <c r="E133" s="17" t="n">
        <v>167010.345</v>
      </c>
      <c r="F133" s="17" t="n">
        <v>517004.257</v>
      </c>
      <c r="G133" s="18" t="n">
        <v>45943.4609606481</v>
      </c>
      <c r="H133" s="19" t="n">
        <v>5.24</v>
      </c>
      <c r="I133" s="19" t="n">
        <v>2</v>
      </c>
      <c r="J133" s="19" t="n">
        <v>21.5</v>
      </c>
      <c r="K133" s="20" t="n">
        <v>0</v>
      </c>
      <c r="L133" s="20" t="n">
        <v>0.1</v>
      </c>
      <c r="M133" s="20" t="n">
        <v>1</v>
      </c>
      <c r="N133" s="20" t="s">
        <v>92</v>
      </c>
      <c r="O133" s="20" t="s">
        <v>115</v>
      </c>
      <c r="P133" s="20" t="s">
        <v>101</v>
      </c>
      <c r="Q133" s="20" t="s">
        <v>115</v>
      </c>
      <c r="R133" s="20" t="s">
        <v>115</v>
      </c>
      <c r="S133" s="20" t="s">
        <v>115</v>
      </c>
      <c r="T133" s="20" t="s">
        <v>116</v>
      </c>
      <c r="U133" s="20" t="s">
        <v>102</v>
      </c>
      <c r="V133" s="20" t="s">
        <v>116</v>
      </c>
      <c r="W133" s="20" t="s">
        <v>116</v>
      </c>
      <c r="X133" s="20" t="s">
        <v>116</v>
      </c>
      <c r="Y133" s="20" t="s">
        <v>95</v>
      </c>
      <c r="Z133" s="20" t="s">
        <v>92</v>
      </c>
      <c r="AA133" s="20" t="s">
        <v>95</v>
      </c>
      <c r="AB133" s="20" t="s">
        <v>92</v>
      </c>
      <c r="AC133" s="20" t="s">
        <v>92</v>
      </c>
      <c r="AD133" s="20" t="s">
        <v>96</v>
      </c>
      <c r="AE133" s="20" t="s">
        <v>131</v>
      </c>
      <c r="AF133" s="21"/>
    </row>
    <row r="134" customFormat="false" ht="13.5" hidden="false" customHeight="false" outlineLevel="0" collapsed="false">
      <c r="A134" s="2" t="s">
        <v>134</v>
      </c>
      <c r="B134" s="2" t="n">
        <v>130</v>
      </c>
      <c r="C134" s="20" t="n">
        <v>171000</v>
      </c>
      <c r="D134" s="20" t="n">
        <v>517000</v>
      </c>
      <c r="E134" s="17" t="n">
        <v>171003.851</v>
      </c>
      <c r="F134" s="17" t="n">
        <v>516991.436</v>
      </c>
      <c r="G134" s="18" t="n">
        <v>45943.368912037</v>
      </c>
      <c r="H134" s="19" t="n">
        <v>4.26</v>
      </c>
      <c r="I134" s="19" t="n">
        <v>7.5</v>
      </c>
      <c r="J134" s="19" t="n">
        <v>52</v>
      </c>
      <c r="K134" s="20" t="n">
        <v>0</v>
      </c>
      <c r="L134" s="20" t="n">
        <v>0.85</v>
      </c>
      <c r="M134" s="20" t="n">
        <v>2</v>
      </c>
      <c r="N134" s="20" t="s">
        <v>92</v>
      </c>
      <c r="O134" s="20" t="s">
        <v>93</v>
      </c>
      <c r="P134" s="20" t="s">
        <v>101</v>
      </c>
      <c r="Q134" s="20" t="s">
        <v>101</v>
      </c>
      <c r="R134" s="20" t="s">
        <v>110</v>
      </c>
      <c r="S134" s="20" t="s">
        <v>98</v>
      </c>
      <c r="T134" s="20" t="s">
        <v>94</v>
      </c>
      <c r="U134" s="20" t="s">
        <v>100</v>
      </c>
      <c r="V134" s="20" t="s">
        <v>102</v>
      </c>
      <c r="W134" s="20" t="s">
        <v>94</v>
      </c>
      <c r="X134" s="20" t="s">
        <v>100</v>
      </c>
      <c r="Y134" s="20" t="s">
        <v>95</v>
      </c>
      <c r="Z134" s="20" t="s">
        <v>92</v>
      </c>
      <c r="AA134" s="20" t="s">
        <v>92</v>
      </c>
      <c r="AB134" s="20" t="s">
        <v>95</v>
      </c>
      <c r="AC134" s="20" t="s">
        <v>95</v>
      </c>
      <c r="AD134" s="20" t="s">
        <v>96</v>
      </c>
      <c r="AE134" s="20" t="s">
        <v>131</v>
      </c>
      <c r="AF134" s="21"/>
    </row>
    <row r="135" customFormat="false" ht="13.5" hidden="false" customHeight="false" outlineLevel="0" collapsed="false">
      <c r="A135" s="2" t="s">
        <v>134</v>
      </c>
      <c r="B135" s="2" t="n">
        <v>131</v>
      </c>
      <c r="C135" s="20" t="n">
        <v>161000</v>
      </c>
      <c r="D135" s="20" t="n">
        <v>515000</v>
      </c>
      <c r="E135" s="17" t="n">
        <v>161003.931</v>
      </c>
      <c r="F135" s="17" t="n">
        <v>514996.203</v>
      </c>
      <c r="G135" s="18" t="n">
        <v>45944.3643171296</v>
      </c>
      <c r="H135" s="19" t="n">
        <v>4.2</v>
      </c>
      <c r="I135" s="19" t="n">
        <v>7.5</v>
      </c>
      <c r="J135" s="19" t="n">
        <v>72</v>
      </c>
      <c r="K135" s="20" t="n">
        <v>0</v>
      </c>
      <c r="L135" s="20" t="s">
        <v>92</v>
      </c>
      <c r="M135" s="20" t="s">
        <v>92</v>
      </c>
      <c r="N135" s="20" t="s">
        <v>92</v>
      </c>
      <c r="O135" s="20" t="s">
        <v>110</v>
      </c>
      <c r="P135" s="20" t="s">
        <v>110</v>
      </c>
      <c r="Q135" s="20" t="s">
        <v>110</v>
      </c>
      <c r="R135" s="20" t="s">
        <v>110</v>
      </c>
      <c r="S135" s="20" t="s">
        <v>110</v>
      </c>
      <c r="T135" s="20" t="s">
        <v>99</v>
      </c>
      <c r="U135" s="20" t="s">
        <v>99</v>
      </c>
      <c r="V135" s="20" t="s">
        <v>99</v>
      </c>
      <c r="W135" s="20" t="s">
        <v>99</v>
      </c>
      <c r="X135" s="20" t="s">
        <v>99</v>
      </c>
      <c r="Y135" s="20" t="s">
        <v>95</v>
      </c>
      <c r="Z135" s="20" t="s">
        <v>92</v>
      </c>
      <c r="AA135" s="20" t="s">
        <v>95</v>
      </c>
      <c r="AB135" s="20" t="s">
        <v>95</v>
      </c>
      <c r="AC135" s="20" t="s">
        <v>92</v>
      </c>
      <c r="AD135" s="20" t="s">
        <v>96</v>
      </c>
      <c r="AE135" s="20" t="s">
        <v>135</v>
      </c>
      <c r="AF135" s="21"/>
    </row>
    <row r="136" customFormat="false" ht="13.5" hidden="false" customHeight="false" outlineLevel="0" collapsed="false">
      <c r="A136" s="2" t="s">
        <v>134</v>
      </c>
      <c r="B136" s="2" t="n">
        <v>132</v>
      </c>
      <c r="C136" s="20" t="n">
        <v>165158</v>
      </c>
      <c r="D136" s="20" t="n">
        <v>515317</v>
      </c>
      <c r="E136" s="17" t="n">
        <v>165153.995</v>
      </c>
      <c r="F136" s="17" t="n">
        <v>515330.419</v>
      </c>
      <c r="G136" s="18" t="n">
        <v>45943.4458217593</v>
      </c>
      <c r="H136" s="19" t="n">
        <v>4.52</v>
      </c>
      <c r="I136" s="19" t="n">
        <v>3</v>
      </c>
      <c r="J136" s="19" t="n">
        <v>7.5</v>
      </c>
      <c r="K136" s="20" t="n">
        <v>0</v>
      </c>
      <c r="L136" s="20" t="n">
        <v>6</v>
      </c>
      <c r="M136" s="20" t="n">
        <v>10</v>
      </c>
      <c r="N136" s="20" t="s">
        <v>92</v>
      </c>
      <c r="O136" s="20" t="s">
        <v>101</v>
      </c>
      <c r="P136" s="20" t="s">
        <v>115</v>
      </c>
      <c r="Q136" s="20" t="s">
        <v>115</v>
      </c>
      <c r="R136" s="20" t="s">
        <v>98</v>
      </c>
      <c r="S136" s="20" t="s">
        <v>93</v>
      </c>
      <c r="T136" s="20" t="s">
        <v>102</v>
      </c>
      <c r="U136" s="20" t="s">
        <v>102</v>
      </c>
      <c r="V136" s="20" t="s">
        <v>102</v>
      </c>
      <c r="W136" s="20" t="s">
        <v>100</v>
      </c>
      <c r="X136" s="20" t="s">
        <v>99</v>
      </c>
      <c r="Y136" s="20" t="s">
        <v>92</v>
      </c>
      <c r="Z136" s="20" t="s">
        <v>93</v>
      </c>
      <c r="AA136" s="20" t="s">
        <v>92</v>
      </c>
      <c r="AB136" s="20" t="s">
        <v>92</v>
      </c>
      <c r="AC136" s="20" t="s">
        <v>93</v>
      </c>
      <c r="AD136" s="20" t="s">
        <v>96</v>
      </c>
      <c r="AE136" s="20" t="s">
        <v>131</v>
      </c>
      <c r="AF136" s="21"/>
    </row>
    <row r="137" customFormat="false" ht="13.5" hidden="false" customHeight="false" outlineLevel="0" collapsed="false">
      <c r="A137" s="2" t="s">
        <v>134</v>
      </c>
      <c r="B137" s="2" t="n">
        <v>133</v>
      </c>
      <c r="C137" s="20" t="n">
        <v>169000</v>
      </c>
      <c r="D137" s="20" t="n">
        <v>515000</v>
      </c>
      <c r="E137" s="17" t="n">
        <v>168973.985</v>
      </c>
      <c r="F137" s="17" t="n">
        <v>514997.344</v>
      </c>
      <c r="G137" s="18" t="n">
        <v>45943.3882407407</v>
      </c>
      <c r="H137" s="19" t="n">
        <v>4.32</v>
      </c>
      <c r="I137" s="19" t="n">
        <v>9</v>
      </c>
      <c r="J137" s="19" t="n">
        <v>169</v>
      </c>
      <c r="K137" s="20" t="n">
        <v>0</v>
      </c>
      <c r="L137" s="20" t="s">
        <v>92</v>
      </c>
      <c r="M137" s="20" t="s">
        <v>92</v>
      </c>
      <c r="N137" s="20" t="s">
        <v>92</v>
      </c>
      <c r="O137" s="20" t="s">
        <v>110</v>
      </c>
      <c r="P137" s="20" t="s">
        <v>101</v>
      </c>
      <c r="Q137" s="20" t="s">
        <v>115</v>
      </c>
      <c r="R137" s="20" t="s">
        <v>98</v>
      </c>
      <c r="S137" s="20" t="s">
        <v>115</v>
      </c>
      <c r="T137" s="20" t="s">
        <v>105</v>
      </c>
      <c r="U137" s="20" t="s">
        <v>102</v>
      </c>
      <c r="V137" s="20" t="s">
        <v>116</v>
      </c>
      <c r="W137" s="20" t="s">
        <v>100</v>
      </c>
      <c r="X137" s="20" t="s">
        <v>116</v>
      </c>
      <c r="Y137" s="20" t="s">
        <v>92</v>
      </c>
      <c r="Z137" s="20" t="s">
        <v>95</v>
      </c>
      <c r="AA137" s="20" t="s">
        <v>92</v>
      </c>
      <c r="AB137" s="20" t="s">
        <v>95</v>
      </c>
      <c r="AC137" s="20" t="s">
        <v>95</v>
      </c>
      <c r="AD137" s="20" t="s">
        <v>96</v>
      </c>
      <c r="AE137" s="20" t="s">
        <v>131</v>
      </c>
      <c r="AF137" s="21"/>
    </row>
    <row r="138" customFormat="false" ht="13.5" hidden="false" customHeight="false" outlineLevel="0" collapsed="false">
      <c r="A138" s="2" t="s">
        <v>134</v>
      </c>
      <c r="B138" s="2" t="n">
        <v>134</v>
      </c>
      <c r="C138" s="20" t="n">
        <v>159400</v>
      </c>
      <c r="D138" s="20" t="n">
        <v>513000</v>
      </c>
      <c r="E138" s="17" t="n">
        <v>159393.193</v>
      </c>
      <c r="F138" s="17" t="n">
        <v>512999.181</v>
      </c>
      <c r="G138" s="18" t="n">
        <v>45944.3794444444</v>
      </c>
      <c r="H138" s="19" t="n">
        <v>4.24</v>
      </c>
      <c r="I138" s="19" t="s">
        <v>92</v>
      </c>
      <c r="J138" s="19" t="s">
        <v>92</v>
      </c>
      <c r="K138" s="20" t="n">
        <v>0</v>
      </c>
      <c r="L138" s="20" t="s">
        <v>92</v>
      </c>
      <c r="M138" s="20" t="s">
        <v>92</v>
      </c>
      <c r="N138" s="20" t="s">
        <v>92</v>
      </c>
      <c r="O138" s="20" t="s">
        <v>101</v>
      </c>
      <c r="P138" s="20" t="s">
        <v>101</v>
      </c>
      <c r="Q138" s="20" t="s">
        <v>101</v>
      </c>
      <c r="R138" s="20" t="s">
        <v>101</v>
      </c>
      <c r="S138" s="20" t="s">
        <v>101</v>
      </c>
      <c r="T138" s="20" t="s">
        <v>102</v>
      </c>
      <c r="U138" s="20" t="s">
        <v>102</v>
      </c>
      <c r="V138" s="20" t="s">
        <v>102</v>
      </c>
      <c r="W138" s="20" t="s">
        <v>102</v>
      </c>
      <c r="X138" s="20" t="s">
        <v>102</v>
      </c>
      <c r="Y138" s="20" t="s">
        <v>92</v>
      </c>
      <c r="Z138" s="20" t="s">
        <v>92</v>
      </c>
      <c r="AA138" s="20" t="s">
        <v>92</v>
      </c>
      <c r="AB138" s="20" t="s">
        <v>92</v>
      </c>
      <c r="AC138" s="20" t="s">
        <v>92</v>
      </c>
      <c r="AD138" s="20" t="s">
        <v>96</v>
      </c>
      <c r="AE138" s="20" t="s">
        <v>135</v>
      </c>
      <c r="AF138" s="21"/>
    </row>
    <row r="139" customFormat="false" ht="13.5" hidden="false" customHeight="false" outlineLevel="0" collapsed="false">
      <c r="A139" s="2" t="s">
        <v>134</v>
      </c>
      <c r="B139" s="2" t="n">
        <v>135</v>
      </c>
      <c r="C139" s="20" t="n">
        <v>163000</v>
      </c>
      <c r="D139" s="20" t="n">
        <v>513000</v>
      </c>
      <c r="E139" s="17" t="n">
        <v>162993.234</v>
      </c>
      <c r="F139" s="17" t="n">
        <v>513010.416</v>
      </c>
      <c r="G139" s="18" t="n">
        <v>45944.4503472222</v>
      </c>
      <c r="H139" s="19" t="n">
        <v>3.92</v>
      </c>
      <c r="I139" s="19" t="n">
        <v>6</v>
      </c>
      <c r="J139" s="19" t="n">
        <v>66</v>
      </c>
      <c r="K139" s="20" t="n">
        <v>0</v>
      </c>
      <c r="L139" s="20" t="s">
        <v>92</v>
      </c>
      <c r="M139" s="20" t="s">
        <v>92</v>
      </c>
      <c r="N139" s="20" t="s">
        <v>92</v>
      </c>
      <c r="O139" s="20" t="s">
        <v>93</v>
      </c>
      <c r="P139" s="20" t="s">
        <v>110</v>
      </c>
      <c r="Q139" s="20" t="s">
        <v>110</v>
      </c>
      <c r="R139" s="20" t="s">
        <v>93</v>
      </c>
      <c r="S139" s="20" t="s">
        <v>110</v>
      </c>
      <c r="T139" s="20" t="s">
        <v>99</v>
      </c>
      <c r="U139" s="20" t="s">
        <v>99</v>
      </c>
      <c r="V139" s="20" t="s">
        <v>99</v>
      </c>
      <c r="W139" s="20" t="s">
        <v>94</v>
      </c>
      <c r="X139" s="20" t="s">
        <v>94</v>
      </c>
      <c r="Y139" s="20" t="s">
        <v>95</v>
      </c>
      <c r="Z139" s="20" t="s">
        <v>95</v>
      </c>
      <c r="AA139" s="20" t="s">
        <v>95</v>
      </c>
      <c r="AB139" s="20" t="s">
        <v>95</v>
      </c>
      <c r="AC139" s="20" t="s">
        <v>95</v>
      </c>
      <c r="AD139" s="20" t="s">
        <v>109</v>
      </c>
      <c r="AE139" s="20" t="s">
        <v>135</v>
      </c>
      <c r="AF139" s="21"/>
    </row>
    <row r="140" customFormat="false" ht="13.5" hidden="false" customHeight="false" outlineLevel="0" collapsed="false">
      <c r="A140" s="2" t="s">
        <v>134</v>
      </c>
      <c r="B140" s="2" t="n">
        <v>136</v>
      </c>
      <c r="C140" s="20" t="n">
        <v>167000</v>
      </c>
      <c r="D140" s="20" t="n">
        <v>513000</v>
      </c>
      <c r="E140" s="17" t="n">
        <v>167012.061</v>
      </c>
      <c r="F140" s="17" t="n">
        <v>512994.816</v>
      </c>
      <c r="G140" s="18" t="n">
        <v>45943.4286458333</v>
      </c>
      <c r="H140" s="19" t="n">
        <v>4.38</v>
      </c>
      <c r="I140" s="19" t="n">
        <v>11.5</v>
      </c>
      <c r="J140" s="19" t="n">
        <v>140</v>
      </c>
      <c r="K140" s="20" t="n">
        <v>0</v>
      </c>
      <c r="L140" s="20" t="n">
        <v>3</v>
      </c>
      <c r="M140" s="20" t="n">
        <v>4</v>
      </c>
      <c r="N140" s="20" t="s">
        <v>92</v>
      </c>
      <c r="O140" s="20" t="s">
        <v>93</v>
      </c>
      <c r="P140" s="20" t="s">
        <v>115</v>
      </c>
      <c r="Q140" s="20" t="s">
        <v>115</v>
      </c>
      <c r="R140" s="20" t="s">
        <v>101</v>
      </c>
      <c r="S140" s="20" t="s">
        <v>115</v>
      </c>
      <c r="T140" s="20" t="s">
        <v>99</v>
      </c>
      <c r="U140" s="20" t="s">
        <v>116</v>
      </c>
      <c r="V140" s="20" t="s">
        <v>116</v>
      </c>
      <c r="W140" s="20" t="s">
        <v>100</v>
      </c>
      <c r="X140" s="20" t="s">
        <v>130</v>
      </c>
      <c r="Y140" s="20" t="s">
        <v>95</v>
      </c>
      <c r="Z140" s="20" t="s">
        <v>92</v>
      </c>
      <c r="AA140" s="20" t="s">
        <v>95</v>
      </c>
      <c r="AB140" s="20" t="s">
        <v>95</v>
      </c>
      <c r="AC140" s="20" t="s">
        <v>95</v>
      </c>
      <c r="AD140" s="20" t="s">
        <v>96</v>
      </c>
      <c r="AE140" s="20" t="s">
        <v>131</v>
      </c>
      <c r="AF140" s="21"/>
    </row>
    <row r="141" customFormat="false" ht="13.5" hidden="false" customHeight="false" outlineLevel="0" collapsed="false">
      <c r="A141" s="2" t="s">
        <v>134</v>
      </c>
      <c r="B141" s="2" t="n">
        <v>137</v>
      </c>
      <c r="C141" s="20" t="n">
        <v>171000</v>
      </c>
      <c r="D141" s="20" t="n">
        <v>513300</v>
      </c>
      <c r="E141" s="17" t="n">
        <v>171003.588</v>
      </c>
      <c r="F141" s="17" t="n">
        <v>513303.107</v>
      </c>
      <c r="G141" s="18" t="n">
        <v>45943.4071180556</v>
      </c>
      <c r="H141" s="19" t="n">
        <v>4.06</v>
      </c>
      <c r="I141" s="19" t="n">
        <v>13</v>
      </c>
      <c r="J141" s="19" t="n">
        <v>233</v>
      </c>
      <c r="K141" s="20" t="n">
        <v>0</v>
      </c>
      <c r="L141" s="20" t="s">
        <v>92</v>
      </c>
      <c r="M141" s="20" t="s">
        <v>92</v>
      </c>
      <c r="N141" s="20" t="s">
        <v>92</v>
      </c>
      <c r="O141" s="20" t="s">
        <v>110</v>
      </c>
      <c r="P141" s="20" t="s">
        <v>115</v>
      </c>
      <c r="Q141" s="20" t="s">
        <v>93</v>
      </c>
      <c r="R141" s="20" t="s">
        <v>115</v>
      </c>
      <c r="S141" s="20" t="s">
        <v>115</v>
      </c>
      <c r="T141" s="20" t="s">
        <v>105</v>
      </c>
      <c r="U141" s="20" t="s">
        <v>116</v>
      </c>
      <c r="V141" s="20" t="s">
        <v>94</v>
      </c>
      <c r="W141" s="20" t="s">
        <v>116</v>
      </c>
      <c r="X141" s="20" t="s">
        <v>116</v>
      </c>
      <c r="Y141" s="20" t="s">
        <v>95</v>
      </c>
      <c r="Z141" s="20" t="s">
        <v>95</v>
      </c>
      <c r="AA141" s="20" t="s">
        <v>95</v>
      </c>
      <c r="AB141" s="20" t="s">
        <v>95</v>
      </c>
      <c r="AC141" s="20" t="s">
        <v>95</v>
      </c>
      <c r="AD141" s="20" t="s">
        <v>96</v>
      </c>
      <c r="AE141" s="20" t="s">
        <v>131</v>
      </c>
      <c r="AF141" s="21"/>
    </row>
    <row r="142" customFormat="false" ht="13.5" hidden="false" customHeight="false" outlineLevel="0" collapsed="false">
      <c r="A142" s="2" t="s">
        <v>134</v>
      </c>
      <c r="B142" s="2" t="n">
        <v>138</v>
      </c>
      <c r="C142" s="20" t="n">
        <v>161000</v>
      </c>
      <c r="D142" s="20" t="n">
        <v>511000</v>
      </c>
      <c r="E142" s="17" t="n">
        <v>161008.828</v>
      </c>
      <c r="F142" s="17" t="n">
        <v>511007.935</v>
      </c>
      <c r="G142" s="18" t="n">
        <v>45944.395474537</v>
      </c>
      <c r="H142" s="19" t="n">
        <v>7.58</v>
      </c>
      <c r="I142" s="19" t="n">
        <v>2</v>
      </c>
      <c r="J142" s="19" t="n">
        <v>49</v>
      </c>
      <c r="K142" s="20" t="n">
        <v>0</v>
      </c>
      <c r="L142" s="20" t="s">
        <v>92</v>
      </c>
      <c r="M142" s="20" t="s">
        <v>92</v>
      </c>
      <c r="N142" s="20" t="s">
        <v>92</v>
      </c>
      <c r="O142" s="20" t="s">
        <v>101</v>
      </c>
      <c r="P142" s="20" t="s">
        <v>126</v>
      </c>
      <c r="Q142" s="20" t="s">
        <v>98</v>
      </c>
      <c r="R142" s="20" t="s">
        <v>101</v>
      </c>
      <c r="S142" s="20" t="s">
        <v>98</v>
      </c>
      <c r="T142" s="20" t="s">
        <v>102</v>
      </c>
      <c r="U142" s="20" t="s">
        <v>102</v>
      </c>
      <c r="V142" s="20" t="s">
        <v>100</v>
      </c>
      <c r="W142" s="20" t="s">
        <v>102</v>
      </c>
      <c r="X142" s="20" t="s">
        <v>100</v>
      </c>
      <c r="Y142" s="20" t="s">
        <v>92</v>
      </c>
      <c r="Z142" s="20" t="s">
        <v>95</v>
      </c>
      <c r="AA142" s="20" t="s">
        <v>92</v>
      </c>
      <c r="AB142" s="20" t="s">
        <v>92</v>
      </c>
      <c r="AC142" s="20" t="s">
        <v>92</v>
      </c>
      <c r="AD142" s="20" t="s">
        <v>96</v>
      </c>
      <c r="AE142" s="20" t="s">
        <v>135</v>
      </c>
      <c r="AF142" s="21"/>
    </row>
    <row r="143" customFormat="false" ht="13.5" hidden="false" customHeight="false" outlineLevel="0" collapsed="false">
      <c r="A143" s="2" t="s">
        <v>134</v>
      </c>
      <c r="B143" s="2" t="n">
        <v>139</v>
      </c>
      <c r="C143" s="20" t="n">
        <v>165000</v>
      </c>
      <c r="D143" s="20" t="n">
        <v>511000</v>
      </c>
      <c r="E143" s="17" t="n">
        <v>165003.602</v>
      </c>
      <c r="F143" s="17" t="n">
        <v>510990.767</v>
      </c>
      <c r="G143" s="18" t="n">
        <v>45944.4331597222</v>
      </c>
      <c r="H143" s="19" t="n">
        <v>4.24</v>
      </c>
      <c r="I143" s="19" t="n">
        <v>2.2</v>
      </c>
      <c r="J143" s="19" t="n">
        <v>64</v>
      </c>
      <c r="K143" s="20" t="n">
        <v>0</v>
      </c>
      <c r="L143" s="20" t="n">
        <v>1.8</v>
      </c>
      <c r="M143" s="20" t="n">
        <v>5</v>
      </c>
      <c r="N143" s="20" t="s">
        <v>92</v>
      </c>
      <c r="O143" s="20" t="s">
        <v>110</v>
      </c>
      <c r="P143" s="20" t="s">
        <v>98</v>
      </c>
      <c r="Q143" s="20" t="s">
        <v>110</v>
      </c>
      <c r="R143" s="20" t="s">
        <v>93</v>
      </c>
      <c r="S143" s="20" t="s">
        <v>110</v>
      </c>
      <c r="T143" s="20" t="s">
        <v>99</v>
      </c>
      <c r="U143" s="20" t="s">
        <v>100</v>
      </c>
      <c r="V143" s="20" t="s">
        <v>99</v>
      </c>
      <c r="W143" s="20" t="s">
        <v>99</v>
      </c>
      <c r="X143" s="20" t="s">
        <v>99</v>
      </c>
      <c r="Y143" s="20" t="s">
        <v>92</v>
      </c>
      <c r="Z143" s="20" t="s">
        <v>95</v>
      </c>
      <c r="AA143" s="20" t="s">
        <v>95</v>
      </c>
      <c r="AB143" s="20" t="s">
        <v>95</v>
      </c>
      <c r="AC143" s="20" t="s">
        <v>92</v>
      </c>
      <c r="AD143" s="20" t="s">
        <v>96</v>
      </c>
      <c r="AE143" s="20" t="s">
        <v>135</v>
      </c>
      <c r="AF143" s="21"/>
    </row>
    <row r="144" customFormat="false" ht="13.5" hidden="false" customHeight="false" outlineLevel="0" collapsed="false">
      <c r="A144" s="2" t="s">
        <v>134</v>
      </c>
      <c r="B144" s="2" t="n">
        <v>140</v>
      </c>
      <c r="C144" s="20" t="n">
        <v>163000</v>
      </c>
      <c r="D144" s="20" t="n">
        <v>509000</v>
      </c>
      <c r="E144" s="17" t="n">
        <v>163001.902</v>
      </c>
      <c r="F144" s="17" t="n">
        <v>508989.901</v>
      </c>
      <c r="G144" s="18" t="n">
        <v>45944.4158449074</v>
      </c>
      <c r="H144" s="19" t="n">
        <v>4.4</v>
      </c>
      <c r="I144" s="19" t="n">
        <v>4.5</v>
      </c>
      <c r="J144" s="19" t="n">
        <v>72</v>
      </c>
      <c r="K144" s="20" t="n">
        <v>0</v>
      </c>
      <c r="L144" s="20" t="n">
        <v>0.2</v>
      </c>
      <c r="M144" s="20" t="n">
        <v>2</v>
      </c>
      <c r="N144" s="20" t="s">
        <v>92</v>
      </c>
      <c r="O144" s="20" t="s">
        <v>93</v>
      </c>
      <c r="P144" s="20" t="s">
        <v>114</v>
      </c>
      <c r="Q144" s="20" t="s">
        <v>98</v>
      </c>
      <c r="R144" s="20" t="s">
        <v>115</v>
      </c>
      <c r="S144" s="20" t="s">
        <v>115</v>
      </c>
      <c r="T144" s="20" t="s">
        <v>100</v>
      </c>
      <c r="U144" s="20" t="s">
        <v>116</v>
      </c>
      <c r="V144" s="20" t="s">
        <v>100</v>
      </c>
      <c r="W144" s="20" t="s">
        <v>116</v>
      </c>
      <c r="X144" s="20" t="s">
        <v>116</v>
      </c>
      <c r="Y144" s="20" t="s">
        <v>95</v>
      </c>
      <c r="Z144" s="20" t="s">
        <v>92</v>
      </c>
      <c r="AA144" s="20" t="s">
        <v>95</v>
      </c>
      <c r="AB144" s="20" t="s">
        <v>92</v>
      </c>
      <c r="AC144" s="20" t="s">
        <v>92</v>
      </c>
      <c r="AD144" s="20" t="s">
        <v>109</v>
      </c>
      <c r="AE144" s="20" t="s">
        <v>135</v>
      </c>
      <c r="AF144" s="21"/>
    </row>
  </sheetData>
  <autoFilter ref="M1:M14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34" activeCellId="0" sqref="N34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3" min="3" style="0" width="10.34"/>
    <col collapsed="false" customWidth="true" hidden="false" outlineLevel="0" max="5" min="5" style="0" width="10.34"/>
    <col collapsed="false" customWidth="true" hidden="false" outlineLevel="0" max="7" min="7" style="0" width="10.34"/>
    <col collapsed="false" customWidth="true" hidden="false" outlineLevel="0" max="9" min="9" style="0" width="10.34"/>
    <col collapsed="false" customWidth="true" hidden="false" outlineLevel="0" max="16384" min="16381" style="0" width="12.67"/>
  </cols>
  <sheetData>
    <row r="1" customFormat="false" ht="13.5" hidden="false" customHeight="false" outlineLevel="0" collapsed="false">
      <c r="A1" s="0" t="s">
        <v>137</v>
      </c>
    </row>
    <row r="3" customFormat="false" ht="13.5" hidden="false" customHeight="true" outlineLevel="0" collapsed="false">
      <c r="A3" s="27" t="s">
        <v>138</v>
      </c>
      <c r="B3" s="28" t="s">
        <v>139</v>
      </c>
      <c r="C3" s="28"/>
      <c r="D3" s="28" t="s">
        <v>140</v>
      </c>
      <c r="E3" s="28"/>
      <c r="F3" s="28" t="s">
        <v>141</v>
      </c>
      <c r="G3" s="28"/>
      <c r="H3" s="29" t="s">
        <v>142</v>
      </c>
    </row>
    <row r="4" customFormat="false" ht="13.5" hidden="false" customHeight="false" outlineLevel="0" collapsed="false">
      <c r="A4" s="27"/>
      <c r="B4" s="30" t="s">
        <v>143</v>
      </c>
      <c r="C4" s="31" t="s">
        <v>144</v>
      </c>
      <c r="D4" s="30" t="s">
        <v>143</v>
      </c>
      <c r="E4" s="31" t="s">
        <v>144</v>
      </c>
      <c r="F4" s="30" t="s">
        <v>143</v>
      </c>
      <c r="G4" s="31" t="s">
        <v>144</v>
      </c>
      <c r="H4" s="32"/>
    </row>
    <row r="5" customFormat="false" ht="13.5" hidden="false" customHeight="false" outlineLevel="0" collapsed="false">
      <c r="A5" s="33" t="n">
        <v>2</v>
      </c>
      <c r="B5" s="34" t="n">
        <v>8</v>
      </c>
      <c r="C5" s="35" t="n">
        <v>1</v>
      </c>
      <c r="D5" s="34" t="n">
        <v>3</v>
      </c>
      <c r="E5" s="35" t="n">
        <v>4</v>
      </c>
      <c r="F5" s="34" t="n">
        <v>19</v>
      </c>
      <c r="G5" s="35" t="n">
        <v>1</v>
      </c>
      <c r="H5" s="33" t="n">
        <f aca="false">SUM(B5:G5)</f>
        <v>36</v>
      </c>
    </row>
    <row r="6" customFormat="false" ht="13.5" hidden="false" customHeight="false" outlineLevel="0" collapsed="false">
      <c r="A6" s="33" t="n">
        <v>3</v>
      </c>
      <c r="B6" s="34" t="n">
        <v>40</v>
      </c>
      <c r="C6" s="35" t="n">
        <v>5</v>
      </c>
      <c r="D6" s="34" t="n">
        <v>7</v>
      </c>
      <c r="E6" s="35" t="n">
        <v>1</v>
      </c>
      <c r="F6" s="34" t="n">
        <v>19</v>
      </c>
      <c r="G6" s="35" t="n">
        <v>1</v>
      </c>
      <c r="H6" s="33" t="n">
        <f aca="false">SUM(B6:G6)</f>
        <v>73</v>
      </c>
    </row>
    <row r="7" customFormat="false" ht="13.5" hidden="false" customHeight="false" outlineLevel="0" collapsed="false">
      <c r="A7" s="33" t="n">
        <v>4</v>
      </c>
      <c r="B7" s="34" t="n">
        <v>131</v>
      </c>
      <c r="C7" s="35" t="n">
        <v>17</v>
      </c>
      <c r="D7" s="34" t="n">
        <v>26</v>
      </c>
      <c r="E7" s="35" t="n">
        <v>9</v>
      </c>
      <c r="F7" s="34" t="n">
        <v>22</v>
      </c>
      <c r="G7" s="35" t="n">
        <v>6</v>
      </c>
      <c r="H7" s="33" t="n">
        <f aca="false">SUM(B7:G7)</f>
        <v>211</v>
      </c>
    </row>
    <row r="8" customFormat="false" ht="13.5" hidden="false" customHeight="false" outlineLevel="0" collapsed="false">
      <c r="A8" s="33" t="n">
        <v>5</v>
      </c>
      <c r="B8" s="34" t="n">
        <v>275</v>
      </c>
      <c r="C8" s="35" t="n">
        <v>33</v>
      </c>
      <c r="D8" s="34" t="n">
        <v>125</v>
      </c>
      <c r="E8" s="35" t="n">
        <v>67</v>
      </c>
      <c r="F8" s="34" t="n">
        <v>20</v>
      </c>
      <c r="G8" s="35" t="n">
        <v>10</v>
      </c>
      <c r="H8" s="33" t="n">
        <f aca="false">SUM(B8:G8)</f>
        <v>530</v>
      </c>
    </row>
    <row r="9" customFormat="false" ht="13.5" hidden="false" customHeight="false" outlineLevel="0" collapsed="false">
      <c r="A9" s="33" t="n">
        <v>6</v>
      </c>
      <c r="B9" s="34" t="n">
        <v>405</v>
      </c>
      <c r="C9" s="35" t="n">
        <v>35</v>
      </c>
      <c r="D9" s="34" t="n">
        <v>226</v>
      </c>
      <c r="E9" s="35" t="n">
        <v>118</v>
      </c>
      <c r="F9" s="34" t="n">
        <v>44</v>
      </c>
      <c r="G9" s="35" t="n">
        <v>13</v>
      </c>
      <c r="H9" s="33" t="n">
        <f aca="false">SUM(B9:G9)</f>
        <v>841</v>
      </c>
    </row>
    <row r="10" customFormat="false" ht="13.5" hidden="false" customHeight="false" outlineLevel="0" collapsed="false">
      <c r="A10" s="33" t="n">
        <v>7</v>
      </c>
      <c r="B10" s="34" t="n">
        <v>329</v>
      </c>
      <c r="C10" s="35" t="n">
        <v>38</v>
      </c>
      <c r="D10" s="34" t="n">
        <v>393</v>
      </c>
      <c r="E10" s="35" t="n">
        <v>186</v>
      </c>
      <c r="F10" s="34" t="n">
        <v>66</v>
      </c>
      <c r="G10" s="35" t="n">
        <v>21</v>
      </c>
      <c r="H10" s="33" t="n">
        <f aca="false">SUM(B10:G10)</f>
        <v>1033</v>
      </c>
    </row>
    <row r="11" customFormat="false" ht="13.5" hidden="false" customHeight="false" outlineLevel="0" collapsed="false">
      <c r="A11" s="33" t="n">
        <v>8</v>
      </c>
      <c r="B11" s="34" t="n">
        <v>279</v>
      </c>
      <c r="C11" s="35" t="n">
        <v>23</v>
      </c>
      <c r="D11" s="34" t="n">
        <v>447</v>
      </c>
      <c r="E11" s="35" t="n">
        <v>134</v>
      </c>
      <c r="F11" s="34" t="n">
        <v>48</v>
      </c>
      <c r="G11" s="35" t="n">
        <v>35</v>
      </c>
      <c r="H11" s="33" t="n">
        <f aca="false">SUM(B11:G11)</f>
        <v>966</v>
      </c>
    </row>
    <row r="12" customFormat="false" ht="13.5" hidden="false" customHeight="false" outlineLevel="0" collapsed="false">
      <c r="A12" s="33" t="n">
        <v>9</v>
      </c>
      <c r="B12" s="34" t="n">
        <v>179</v>
      </c>
      <c r="C12" s="35" t="n">
        <v>15</v>
      </c>
      <c r="D12" s="34" t="n">
        <v>432</v>
      </c>
      <c r="E12" s="35" t="n">
        <v>99</v>
      </c>
      <c r="F12" s="34" t="n">
        <v>28</v>
      </c>
      <c r="G12" s="35" t="n">
        <v>31</v>
      </c>
      <c r="H12" s="33" t="n">
        <f aca="false">SUM(B12:G12)</f>
        <v>784</v>
      </c>
    </row>
    <row r="13" customFormat="false" ht="13.5" hidden="false" customHeight="false" outlineLevel="0" collapsed="false">
      <c r="A13" s="33" t="n">
        <v>10</v>
      </c>
      <c r="B13" s="34" t="n">
        <v>126</v>
      </c>
      <c r="C13" s="35" t="n">
        <v>18</v>
      </c>
      <c r="D13" s="34" t="n">
        <v>370</v>
      </c>
      <c r="E13" s="35" t="n">
        <v>64</v>
      </c>
      <c r="F13" s="34" t="n">
        <v>27</v>
      </c>
      <c r="G13" s="35" t="n">
        <v>57</v>
      </c>
      <c r="H13" s="33" t="n">
        <f aca="false">SUM(B13:G13)</f>
        <v>662</v>
      </c>
    </row>
    <row r="14" customFormat="false" ht="13.5" hidden="false" customHeight="false" outlineLevel="0" collapsed="false">
      <c r="A14" s="33" t="n">
        <v>11</v>
      </c>
      <c r="B14" s="34" t="n">
        <v>67</v>
      </c>
      <c r="C14" s="35" t="n">
        <v>24</v>
      </c>
      <c r="D14" s="34" t="n">
        <v>156</v>
      </c>
      <c r="E14" s="35" t="n">
        <v>29</v>
      </c>
      <c r="F14" s="34" t="n">
        <v>11</v>
      </c>
      <c r="G14" s="35" t="n">
        <v>62</v>
      </c>
      <c r="H14" s="33" t="n">
        <f aca="false">SUM(B14:G14)</f>
        <v>349</v>
      </c>
    </row>
    <row r="15" customFormat="false" ht="13.5" hidden="false" customHeight="false" outlineLevel="0" collapsed="false">
      <c r="A15" s="33" t="n">
        <v>12</v>
      </c>
      <c r="B15" s="34" t="n">
        <v>74</v>
      </c>
      <c r="C15" s="35" t="n">
        <v>18</v>
      </c>
      <c r="D15" s="34" t="n">
        <v>98</v>
      </c>
      <c r="E15" s="35" t="n">
        <v>11</v>
      </c>
      <c r="F15" s="34" t="n">
        <v>17</v>
      </c>
      <c r="G15" s="35" t="n">
        <v>56</v>
      </c>
      <c r="H15" s="33" t="n">
        <f aca="false">SUM(B15:G15)</f>
        <v>274</v>
      </c>
    </row>
    <row r="16" customFormat="false" ht="13.5" hidden="false" customHeight="false" outlineLevel="0" collapsed="false">
      <c r="A16" s="33" t="n">
        <v>13</v>
      </c>
      <c r="B16" s="34" t="n">
        <v>85</v>
      </c>
      <c r="C16" s="35" t="n">
        <v>18</v>
      </c>
      <c r="D16" s="34" t="n">
        <v>69</v>
      </c>
      <c r="E16" s="35" t="n">
        <v>19</v>
      </c>
      <c r="F16" s="34" t="n">
        <v>28</v>
      </c>
      <c r="G16" s="35" t="n">
        <v>36</v>
      </c>
      <c r="H16" s="33" t="n">
        <f aca="false">SUM(B16:G16)</f>
        <v>255</v>
      </c>
    </row>
    <row r="17" customFormat="false" ht="13.5" hidden="false" customHeight="false" outlineLevel="0" collapsed="false">
      <c r="A17" s="33" t="n">
        <v>14</v>
      </c>
      <c r="B17" s="34" t="n">
        <v>125</v>
      </c>
      <c r="C17" s="35" t="n">
        <v>6</v>
      </c>
      <c r="D17" s="34" t="n">
        <v>72</v>
      </c>
      <c r="E17" s="35" t="n">
        <v>10</v>
      </c>
      <c r="F17" s="34" t="n">
        <v>59</v>
      </c>
      <c r="G17" s="35" t="n">
        <v>29</v>
      </c>
      <c r="H17" s="33" t="n">
        <f aca="false">SUM(B17:G17)</f>
        <v>301</v>
      </c>
    </row>
    <row r="18" customFormat="false" ht="13.5" hidden="false" customHeight="false" outlineLevel="0" collapsed="false">
      <c r="A18" s="33" t="n">
        <v>15</v>
      </c>
      <c r="B18" s="34" t="n">
        <v>177</v>
      </c>
      <c r="C18" s="35" t="n">
        <v>7</v>
      </c>
      <c r="D18" s="34" t="n">
        <v>119</v>
      </c>
      <c r="E18" s="35" t="n">
        <v>17</v>
      </c>
      <c r="F18" s="34" t="n">
        <v>99</v>
      </c>
      <c r="G18" s="35" t="n">
        <v>21</v>
      </c>
      <c r="H18" s="33" t="n">
        <f aca="false">SUM(B18:G18)</f>
        <v>440</v>
      </c>
    </row>
    <row r="19" customFormat="false" ht="13.5" hidden="false" customHeight="false" outlineLevel="0" collapsed="false">
      <c r="A19" s="33" t="n">
        <v>16</v>
      </c>
      <c r="B19" s="34" t="n">
        <v>192</v>
      </c>
      <c r="C19" s="35" t="n">
        <v>8</v>
      </c>
      <c r="D19" s="34" t="n">
        <v>89</v>
      </c>
      <c r="E19" s="35" t="n">
        <v>20</v>
      </c>
      <c r="F19" s="34" t="n">
        <v>144</v>
      </c>
      <c r="G19" s="35" t="n">
        <v>9</v>
      </c>
      <c r="H19" s="33" t="n">
        <f aca="false">SUM(B19:G19)</f>
        <v>462</v>
      </c>
    </row>
    <row r="20" customFormat="false" ht="13.5" hidden="false" customHeight="false" outlineLevel="0" collapsed="false">
      <c r="A20" s="33" t="n">
        <v>17</v>
      </c>
      <c r="B20" s="34" t="n">
        <v>214</v>
      </c>
      <c r="C20" s="35" t="n">
        <v>3</v>
      </c>
      <c r="D20" s="34" t="n">
        <v>81</v>
      </c>
      <c r="E20" s="35" t="n">
        <v>9</v>
      </c>
      <c r="F20" s="34" t="n">
        <v>185</v>
      </c>
      <c r="G20" s="35" t="n">
        <v>2</v>
      </c>
      <c r="H20" s="33" t="n">
        <f aca="false">SUM(B20:G20)</f>
        <v>494</v>
      </c>
    </row>
    <row r="21" customFormat="false" ht="13.5" hidden="false" customHeight="false" outlineLevel="0" collapsed="false">
      <c r="A21" s="33" t="n">
        <v>18</v>
      </c>
      <c r="B21" s="34" t="n">
        <v>171</v>
      </c>
      <c r="C21" s="35" t="n">
        <v>2</v>
      </c>
      <c r="D21" s="34" t="n">
        <v>96</v>
      </c>
      <c r="E21" s="35" t="n">
        <v>4</v>
      </c>
      <c r="F21" s="34" t="n">
        <v>170</v>
      </c>
      <c r="G21" s="35" t="n">
        <v>1</v>
      </c>
      <c r="H21" s="33" t="n">
        <f aca="false">SUM(B21:G21)</f>
        <v>444</v>
      </c>
    </row>
    <row r="22" customFormat="false" ht="13.5" hidden="false" customHeight="false" outlineLevel="0" collapsed="false">
      <c r="A22" s="33" t="n">
        <v>19</v>
      </c>
      <c r="B22" s="34" t="n">
        <v>153</v>
      </c>
      <c r="C22" s="35"/>
      <c r="D22" s="34" t="n">
        <v>59</v>
      </c>
      <c r="E22" s="35" t="n">
        <v>2</v>
      </c>
      <c r="F22" s="34" t="n">
        <v>146</v>
      </c>
      <c r="G22" s="35" t="n">
        <v>1</v>
      </c>
      <c r="H22" s="33" t="n">
        <f aca="false">SUM(B22:G22)</f>
        <v>361</v>
      </c>
    </row>
    <row r="23" customFormat="false" ht="13.5" hidden="false" customHeight="false" outlineLevel="0" collapsed="false">
      <c r="A23" s="33" t="n">
        <v>20</v>
      </c>
      <c r="B23" s="34" t="n">
        <v>130</v>
      </c>
      <c r="C23" s="35"/>
      <c r="D23" s="34" t="n">
        <v>88</v>
      </c>
      <c r="E23" s="35" t="n">
        <v>2</v>
      </c>
      <c r="F23" s="34" t="n">
        <v>129</v>
      </c>
      <c r="G23" s="35" t="n">
        <v>0</v>
      </c>
      <c r="H23" s="33" t="n">
        <f aca="false">SUM(B23:G23)</f>
        <v>349</v>
      </c>
    </row>
    <row r="24" customFormat="false" ht="13.5" hidden="false" customHeight="false" outlineLevel="0" collapsed="false">
      <c r="A24" s="33" t="n">
        <v>21</v>
      </c>
      <c r="B24" s="34" t="n">
        <v>81</v>
      </c>
      <c r="C24" s="35"/>
      <c r="D24" s="34" t="n">
        <v>78</v>
      </c>
      <c r="E24" s="35" t="n">
        <v>0</v>
      </c>
      <c r="F24" s="34" t="n">
        <v>78</v>
      </c>
      <c r="G24" s="35" t="n">
        <v>2</v>
      </c>
      <c r="H24" s="33" t="n">
        <f aca="false">SUM(B24:G24)</f>
        <v>239</v>
      </c>
    </row>
    <row r="25" customFormat="false" ht="13.5" hidden="false" customHeight="false" outlineLevel="0" collapsed="false">
      <c r="A25" s="33" t="n">
        <v>22</v>
      </c>
      <c r="B25" s="34" t="n">
        <v>57</v>
      </c>
      <c r="C25" s="35"/>
      <c r="D25" s="34" t="n">
        <v>88</v>
      </c>
      <c r="E25" s="35" t="n">
        <v>1</v>
      </c>
      <c r="F25" s="34" t="n">
        <v>53</v>
      </c>
      <c r="G25" s="35"/>
      <c r="H25" s="33" t="n">
        <f aca="false">SUM(B25:G25)</f>
        <v>199</v>
      </c>
    </row>
    <row r="26" customFormat="false" ht="13.5" hidden="false" customHeight="false" outlineLevel="0" collapsed="false">
      <c r="A26" s="33" t="n">
        <v>23</v>
      </c>
      <c r="B26" s="34" t="n">
        <v>33</v>
      </c>
      <c r="C26" s="35"/>
      <c r="D26" s="34" t="n">
        <v>62</v>
      </c>
      <c r="E26" s="35"/>
      <c r="F26" s="34" t="n">
        <v>20</v>
      </c>
      <c r="G26" s="35"/>
      <c r="H26" s="33" t="n">
        <f aca="false">SUM(B26:G26)</f>
        <v>115</v>
      </c>
    </row>
    <row r="27" customFormat="false" ht="13.5" hidden="false" customHeight="false" outlineLevel="0" collapsed="false">
      <c r="A27" s="33" t="n">
        <v>24</v>
      </c>
      <c r="B27" s="34" t="n">
        <v>11</v>
      </c>
      <c r="C27" s="35"/>
      <c r="D27" s="34" t="n">
        <v>23</v>
      </c>
      <c r="E27" s="35"/>
      <c r="F27" s="34" t="n">
        <v>5</v>
      </c>
      <c r="G27" s="35"/>
      <c r="H27" s="33" t="n">
        <f aca="false">SUM(B27:G27)</f>
        <v>39</v>
      </c>
    </row>
    <row r="28" customFormat="false" ht="13.5" hidden="false" customHeight="false" outlineLevel="0" collapsed="false">
      <c r="A28" s="33" t="n">
        <v>25</v>
      </c>
      <c r="B28" s="34" t="n">
        <v>6</v>
      </c>
      <c r="C28" s="35"/>
      <c r="D28" s="34" t="n">
        <v>17</v>
      </c>
      <c r="E28" s="35"/>
      <c r="F28" s="34"/>
      <c r="G28" s="35"/>
      <c r="H28" s="33" t="n">
        <f aca="false">SUM(B28:G28)</f>
        <v>23</v>
      </c>
    </row>
    <row r="29" customFormat="false" ht="13.5" hidden="false" customHeight="false" outlineLevel="0" collapsed="false">
      <c r="A29" s="33" t="n">
        <v>26</v>
      </c>
      <c r="B29" s="34" t="n">
        <v>1</v>
      </c>
      <c r="C29" s="35"/>
      <c r="D29" s="34" t="n">
        <v>13</v>
      </c>
      <c r="E29" s="35"/>
      <c r="F29" s="34"/>
      <c r="G29" s="35"/>
      <c r="H29" s="33" t="n">
        <f aca="false">SUM(B29:G29)</f>
        <v>14</v>
      </c>
    </row>
    <row r="30" customFormat="false" ht="13.5" hidden="false" customHeight="false" outlineLevel="0" collapsed="false">
      <c r="A30" s="33" t="n">
        <v>27</v>
      </c>
      <c r="B30" s="34" t="n">
        <v>1</v>
      </c>
      <c r="C30" s="35"/>
      <c r="D30" s="34" t="n">
        <v>6</v>
      </c>
      <c r="E30" s="35"/>
      <c r="F30" s="34"/>
      <c r="G30" s="35"/>
      <c r="H30" s="33" t="n">
        <f aca="false">SUM(B30:G30)</f>
        <v>7</v>
      </c>
    </row>
    <row r="31" customFormat="false" ht="13.5" hidden="false" customHeight="false" outlineLevel="0" collapsed="false">
      <c r="A31" s="33" t="n">
        <v>28</v>
      </c>
      <c r="B31" s="34" t="n">
        <v>1</v>
      </c>
      <c r="C31" s="35"/>
      <c r="D31" s="34" t="n">
        <v>2</v>
      </c>
      <c r="E31" s="35"/>
      <c r="F31" s="34"/>
      <c r="G31" s="35"/>
      <c r="H31" s="33" t="n">
        <f aca="false">SUM(B31:G31)</f>
        <v>3</v>
      </c>
    </row>
    <row r="32" customFormat="false" ht="13.5" hidden="false" customHeight="false" outlineLevel="0" collapsed="false">
      <c r="A32" s="33" t="n">
        <v>29</v>
      </c>
      <c r="B32" s="34"/>
      <c r="C32" s="35"/>
      <c r="D32" s="34"/>
      <c r="E32" s="35"/>
      <c r="F32" s="34"/>
      <c r="G32" s="35"/>
      <c r="H32" s="33" t="n">
        <f aca="false">SUM(B32:G32)</f>
        <v>0</v>
      </c>
    </row>
    <row r="33" customFormat="false" ht="13.5" hidden="false" customHeight="false" outlineLevel="0" collapsed="false">
      <c r="A33" s="33" t="n">
        <v>30</v>
      </c>
      <c r="B33" s="34"/>
      <c r="C33" s="35"/>
      <c r="D33" s="34"/>
      <c r="E33" s="35"/>
      <c r="F33" s="34"/>
      <c r="G33" s="35"/>
      <c r="H33" s="33" t="n">
        <f aca="false">SUM(B33:G33)</f>
        <v>0</v>
      </c>
    </row>
    <row r="34" customFormat="false" ht="13.5" hidden="false" customHeight="false" outlineLevel="0" collapsed="false">
      <c r="A34" s="33" t="n">
        <v>31</v>
      </c>
      <c r="B34" s="34"/>
      <c r="C34" s="35"/>
      <c r="D34" s="34"/>
      <c r="E34" s="35"/>
      <c r="F34" s="34"/>
      <c r="G34" s="35"/>
      <c r="H34" s="33" t="n">
        <f aca="false">SUM(B34:G34)</f>
        <v>0</v>
      </c>
    </row>
    <row r="35" customFormat="false" ht="13.5" hidden="false" customHeight="false" outlineLevel="0" collapsed="false">
      <c r="A35" s="33" t="n">
        <v>32</v>
      </c>
      <c r="B35" s="34"/>
      <c r="C35" s="35"/>
      <c r="D35" s="34"/>
      <c r="E35" s="35"/>
      <c r="F35" s="34"/>
      <c r="G35" s="35"/>
      <c r="H35" s="33" t="n">
        <f aca="false">SUM(B35:G35)</f>
        <v>0</v>
      </c>
    </row>
    <row r="36" customFormat="false" ht="13.5" hidden="false" customHeight="false" outlineLevel="0" collapsed="false">
      <c r="A36" s="33" t="n">
        <v>33</v>
      </c>
      <c r="B36" s="34"/>
      <c r="C36" s="35"/>
      <c r="D36" s="34"/>
      <c r="E36" s="35"/>
      <c r="F36" s="34"/>
      <c r="G36" s="35"/>
      <c r="H36" s="33" t="n">
        <f aca="false">SUM(B36:G36)</f>
        <v>0</v>
      </c>
    </row>
    <row r="37" customFormat="false" ht="13.5" hidden="false" customHeight="false" outlineLevel="0" collapsed="false">
      <c r="A37" s="33" t="n">
        <v>34</v>
      </c>
      <c r="B37" s="34"/>
      <c r="C37" s="35"/>
      <c r="D37" s="34"/>
      <c r="E37" s="35"/>
      <c r="F37" s="34"/>
      <c r="G37" s="35"/>
      <c r="H37" s="33" t="n">
        <f aca="false">SUM(B37:G37)</f>
        <v>0</v>
      </c>
    </row>
    <row r="38" customFormat="false" ht="13.5" hidden="false" customHeight="false" outlineLevel="0" collapsed="false">
      <c r="A38" s="33" t="n">
        <v>35</v>
      </c>
      <c r="B38" s="34"/>
      <c r="C38" s="35"/>
      <c r="D38" s="34"/>
      <c r="E38" s="35"/>
      <c r="F38" s="34"/>
      <c r="G38" s="35"/>
      <c r="H38" s="33" t="n">
        <f aca="false">SUM(B38:G38)</f>
        <v>0</v>
      </c>
    </row>
    <row r="39" customFormat="false" ht="13.5" hidden="false" customHeight="false" outlineLevel="0" collapsed="false">
      <c r="A39" s="33" t="n">
        <v>36</v>
      </c>
      <c r="B39" s="34"/>
      <c r="C39" s="35"/>
      <c r="E39" s="35"/>
      <c r="F39" s="36"/>
      <c r="G39" s="35"/>
      <c r="H39" s="33" t="n">
        <f aca="false">SUM(B39:G39)</f>
        <v>0</v>
      </c>
    </row>
    <row r="40" customFormat="false" ht="13.5" hidden="false" customHeight="false" outlineLevel="0" collapsed="false">
      <c r="A40" s="37" t="s">
        <v>142</v>
      </c>
      <c r="B40" s="37" t="n">
        <f aca="false">SUM(B5:B39)</f>
        <v>3351</v>
      </c>
      <c r="C40" s="37" t="n">
        <f aca="false">SUM(C5:C39)</f>
        <v>271</v>
      </c>
      <c r="D40" s="37" t="n">
        <f aca="false">SUM(D5:D39)</f>
        <v>3245</v>
      </c>
      <c r="E40" s="37" t="n">
        <f aca="false">SUM(E5:E39)</f>
        <v>806</v>
      </c>
      <c r="F40" s="37" t="n">
        <f aca="false">SUM(F5:F39)</f>
        <v>1437</v>
      </c>
      <c r="G40" s="37" t="n">
        <f aca="false">SUM(G5:G39)</f>
        <v>394</v>
      </c>
      <c r="H40" s="38" t="n">
        <f aca="false">SUM(H5:H39)</f>
        <v>9504</v>
      </c>
    </row>
    <row r="42" customFormat="false" ht="13.5" hidden="false" customHeight="false" outlineLevel="0" collapsed="false">
      <c r="D42" s="0" t="s">
        <v>145</v>
      </c>
    </row>
  </sheetData>
  <mergeCells count="4">
    <mergeCell ref="A3:A4"/>
    <mergeCell ref="B3:C3"/>
    <mergeCell ref="D3:E3"/>
    <mergeCell ref="F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35" activeCellId="0" sqref="I35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7" min="2" style="39" width="8.89"/>
  </cols>
  <sheetData>
    <row r="1" customFormat="false" ht="13.5" hidden="false" customHeight="false" outlineLevel="0" collapsed="false">
      <c r="A1" s="0" t="s">
        <v>146</v>
      </c>
    </row>
    <row r="3" customFormat="false" ht="13.5" hidden="false" customHeight="true" outlineLevel="0" collapsed="false">
      <c r="A3" s="27" t="s">
        <v>138</v>
      </c>
      <c r="B3" s="40" t="s">
        <v>139</v>
      </c>
      <c r="C3" s="40"/>
      <c r="D3" s="28" t="s">
        <v>140</v>
      </c>
      <c r="E3" s="28"/>
      <c r="F3" s="28" t="s">
        <v>147</v>
      </c>
      <c r="G3" s="28"/>
      <c r="H3" s="34"/>
    </row>
    <row r="4" customFormat="false" ht="13.5" hidden="false" customHeight="false" outlineLevel="0" collapsed="false">
      <c r="A4" s="27"/>
      <c r="B4" s="41" t="s">
        <v>143</v>
      </c>
      <c r="C4" s="42" t="s">
        <v>144</v>
      </c>
      <c r="D4" s="41" t="s">
        <v>143</v>
      </c>
      <c r="E4" s="42" t="s">
        <v>144</v>
      </c>
      <c r="F4" s="41" t="s">
        <v>143</v>
      </c>
      <c r="G4" s="42" t="s">
        <v>144</v>
      </c>
      <c r="H4" s="34"/>
    </row>
    <row r="5" customFormat="false" ht="13.5" hidden="false" customHeight="false" outlineLevel="0" collapsed="false">
      <c r="A5" s="33" t="n">
        <v>2</v>
      </c>
      <c r="B5" s="43" t="n">
        <f aca="false">('Bijlage 5a'!B5/(SUM('Bijlage 5a'!B$5:B$31)))</f>
        <v>0.00238734706057893</v>
      </c>
      <c r="C5" s="44" t="n">
        <f aca="false">('Bijlage 5a'!C5/(SUM('Bijlage 5a'!C$5:C$31)))</f>
        <v>0.003690036900369</v>
      </c>
      <c r="D5" s="43" t="n">
        <f aca="false">('Bijlage 5a'!D5/(SUM('Bijlage 5a'!D$5:D$31)))</f>
        <v>0.000924499229583975</v>
      </c>
      <c r="E5" s="44" t="n">
        <f aca="false">('Bijlage 5a'!E5/(SUM('Bijlage 5a'!E$5:E$31)))</f>
        <v>0.00496277915632754</v>
      </c>
      <c r="F5" s="43" t="n">
        <f aca="false">('Bijlage 5a'!F5/(SUM('Bijlage 5a'!F$5:F$31)))</f>
        <v>0.0132219902574809</v>
      </c>
      <c r="G5" s="44" t="n">
        <f aca="false">('Bijlage 5a'!G5/(SUM('Bijlage 5a'!G$5:G$31)))</f>
        <v>0.00253807106598985</v>
      </c>
      <c r="H5" s="34"/>
      <c r="J5" s="39"/>
    </row>
    <row r="6" customFormat="false" ht="13.5" hidden="false" customHeight="false" outlineLevel="0" collapsed="false">
      <c r="A6" s="33" t="n">
        <v>3</v>
      </c>
      <c r="B6" s="45" t="n">
        <f aca="false">('Bijlage 5a'!B6/(SUM('Bijlage 5a'!B$5:B$31)))</f>
        <v>0.0119367353028947</v>
      </c>
      <c r="C6" s="46" t="n">
        <f aca="false">('Bijlage 5a'!C6/(SUM('Bijlage 5a'!C$5:C$31)))</f>
        <v>0.018450184501845</v>
      </c>
      <c r="D6" s="45" t="n">
        <f aca="false">('Bijlage 5a'!D6/(SUM('Bijlage 5a'!D$5:D$31)))</f>
        <v>0.00215716486902928</v>
      </c>
      <c r="E6" s="46" t="n">
        <f aca="false">('Bijlage 5a'!E6/(SUM('Bijlage 5a'!E$5:E$31)))</f>
        <v>0.00124069478908189</v>
      </c>
      <c r="F6" s="45" t="n">
        <f aca="false">('Bijlage 5a'!F6/(SUM('Bijlage 5a'!F$5:F$31)))</f>
        <v>0.0132219902574809</v>
      </c>
      <c r="G6" s="46" t="n">
        <f aca="false">('Bijlage 5a'!G6/(SUM('Bijlage 5a'!G$5:G$31)))</f>
        <v>0.00253807106598985</v>
      </c>
      <c r="H6" s="34"/>
      <c r="J6" s="39"/>
    </row>
    <row r="7" customFormat="false" ht="13.5" hidden="false" customHeight="false" outlineLevel="0" collapsed="false">
      <c r="A7" s="33" t="n">
        <v>4</v>
      </c>
      <c r="B7" s="45" t="n">
        <f aca="false">('Bijlage 5a'!B7/(SUM('Bijlage 5a'!B$5:B$31)))</f>
        <v>0.03909280811698</v>
      </c>
      <c r="C7" s="46" t="n">
        <f aca="false">('Bijlage 5a'!C7/(SUM('Bijlage 5a'!C$5:C$31)))</f>
        <v>0.0627306273062731</v>
      </c>
      <c r="D7" s="45" t="n">
        <f aca="false">('Bijlage 5a'!D7/(SUM('Bijlage 5a'!D$5:D$31)))</f>
        <v>0.00801232665639445</v>
      </c>
      <c r="E7" s="46" t="n">
        <f aca="false">('Bijlage 5a'!E7/(SUM('Bijlage 5a'!E$5:E$31)))</f>
        <v>0.011166253101737</v>
      </c>
      <c r="F7" s="45" t="n">
        <f aca="false">('Bijlage 5a'!F7/(SUM('Bijlage 5a'!F$5:F$31)))</f>
        <v>0.0153096729297147</v>
      </c>
      <c r="G7" s="46" t="n">
        <f aca="false">('Bijlage 5a'!G7/(SUM('Bijlage 5a'!G$5:G$31)))</f>
        <v>0.0152284263959391</v>
      </c>
      <c r="H7" s="34"/>
      <c r="J7" s="39"/>
    </row>
    <row r="8" customFormat="false" ht="13.5" hidden="false" customHeight="false" outlineLevel="0" collapsed="false">
      <c r="A8" s="33" t="n">
        <v>5</v>
      </c>
      <c r="B8" s="45" t="n">
        <f aca="false">('Bijlage 5a'!B8/(SUM('Bijlage 5a'!B$5:B$31)))</f>
        <v>0.0820650552074008</v>
      </c>
      <c r="C8" s="46" t="n">
        <f aca="false">('Bijlage 5a'!C8/(SUM('Bijlage 5a'!C$5:C$31)))</f>
        <v>0.121771217712177</v>
      </c>
      <c r="D8" s="45" t="n">
        <f aca="false">('Bijlage 5a'!D8/(SUM('Bijlage 5a'!D$5:D$31)))</f>
        <v>0.0385208012326656</v>
      </c>
      <c r="E8" s="46" t="n">
        <f aca="false">('Bijlage 5a'!E8/(SUM('Bijlage 5a'!E$5:E$31)))</f>
        <v>0.0831265508684864</v>
      </c>
      <c r="F8" s="45" t="n">
        <f aca="false">('Bijlage 5a'!F8/(SUM('Bijlage 5a'!F$5:F$31)))</f>
        <v>0.0139178844815588</v>
      </c>
      <c r="G8" s="46" t="n">
        <f aca="false">('Bijlage 5a'!G8/(SUM('Bijlage 5a'!G$5:G$31)))</f>
        <v>0.0253807106598985</v>
      </c>
      <c r="H8" s="34"/>
      <c r="J8" s="39"/>
    </row>
    <row r="9" customFormat="false" ht="13.5" hidden="false" customHeight="false" outlineLevel="0" collapsed="false">
      <c r="A9" s="33" t="n">
        <v>6</v>
      </c>
      <c r="B9" s="45" t="n">
        <f aca="false">('Bijlage 5a'!B9/(SUM('Bijlage 5a'!B$5:B$31)))</f>
        <v>0.120859444941808</v>
      </c>
      <c r="C9" s="46" t="n">
        <f aca="false">('Bijlage 5a'!C9/(SUM('Bijlage 5a'!C$5:C$31)))</f>
        <v>0.129151291512915</v>
      </c>
      <c r="D9" s="45" t="n">
        <f aca="false">('Bijlage 5a'!D9/(SUM('Bijlage 5a'!D$5:D$31)))</f>
        <v>0.0696456086286595</v>
      </c>
      <c r="E9" s="46" t="n">
        <f aca="false">('Bijlage 5a'!E9/(SUM('Bijlage 5a'!E$5:E$31)))</f>
        <v>0.146401985111663</v>
      </c>
      <c r="F9" s="45" t="n">
        <f aca="false">('Bijlage 5a'!F9/(SUM('Bijlage 5a'!F$5:F$31)))</f>
        <v>0.0306193458594294</v>
      </c>
      <c r="G9" s="46" t="n">
        <f aca="false">('Bijlage 5a'!G9/(SUM('Bijlage 5a'!G$5:G$31)))</f>
        <v>0.032994923857868</v>
      </c>
      <c r="H9" s="34"/>
      <c r="J9" s="39"/>
    </row>
    <row r="10" customFormat="false" ht="13.5" hidden="false" customHeight="false" outlineLevel="0" collapsed="false">
      <c r="A10" s="33" t="n">
        <v>7</v>
      </c>
      <c r="B10" s="45" t="n">
        <f aca="false">('Bijlage 5a'!B10/(SUM('Bijlage 5a'!B$5:B$31)))</f>
        <v>0.0981796478663086</v>
      </c>
      <c r="C10" s="46" t="n">
        <f aca="false">('Bijlage 5a'!C10/(SUM('Bijlage 5a'!C$5:C$31)))</f>
        <v>0.140221402214022</v>
      </c>
      <c r="D10" s="45" t="n">
        <f aca="false">('Bijlage 5a'!D10/(SUM('Bijlage 5a'!D$5:D$31)))</f>
        <v>0.121109399075501</v>
      </c>
      <c r="E10" s="46" t="n">
        <f aca="false">('Bijlage 5a'!E10/(SUM('Bijlage 5a'!E$5:E$31)))</f>
        <v>0.230769230769231</v>
      </c>
      <c r="F10" s="45" t="n">
        <f aca="false">('Bijlage 5a'!F10/(SUM('Bijlage 5a'!F$5:F$31)))</f>
        <v>0.0459290187891441</v>
      </c>
      <c r="G10" s="46" t="n">
        <f aca="false">('Bijlage 5a'!G10/(SUM('Bijlage 5a'!G$5:G$31)))</f>
        <v>0.0532994923857868</v>
      </c>
      <c r="H10" s="34"/>
      <c r="J10" s="39"/>
    </row>
    <row r="11" customFormat="false" ht="13.5" hidden="false" customHeight="false" outlineLevel="0" collapsed="false">
      <c r="A11" s="33" t="n">
        <v>8</v>
      </c>
      <c r="B11" s="45" t="n">
        <f aca="false">('Bijlage 5a'!B11/(SUM('Bijlage 5a'!B$5:B$31)))</f>
        <v>0.0832587287376903</v>
      </c>
      <c r="C11" s="46" t="n">
        <f aca="false">('Bijlage 5a'!C11/(SUM('Bijlage 5a'!C$5:C$31)))</f>
        <v>0.0848708487084871</v>
      </c>
      <c r="D11" s="45" t="n">
        <f aca="false">('Bijlage 5a'!D11/(SUM('Bijlage 5a'!D$5:D$31)))</f>
        <v>0.137750385208012</v>
      </c>
      <c r="E11" s="46" t="n">
        <f aca="false">('Bijlage 5a'!E11/(SUM('Bijlage 5a'!E$5:E$31)))</f>
        <v>0.166253101736973</v>
      </c>
      <c r="F11" s="45" t="n">
        <f aca="false">('Bijlage 5a'!F11/(SUM('Bijlage 5a'!F$5:F$31)))</f>
        <v>0.0334029227557411</v>
      </c>
      <c r="G11" s="46" t="n">
        <f aca="false">('Bijlage 5a'!G11/(SUM('Bijlage 5a'!G$5:G$31)))</f>
        <v>0.0888324873096447</v>
      </c>
      <c r="H11" s="34"/>
      <c r="J11" s="39"/>
    </row>
    <row r="12" customFormat="false" ht="13.5" hidden="false" customHeight="false" outlineLevel="0" collapsed="false">
      <c r="A12" s="33" t="n">
        <v>9</v>
      </c>
      <c r="B12" s="45" t="n">
        <f aca="false">('Bijlage 5a'!B12/(SUM('Bijlage 5a'!B$5:B$31)))</f>
        <v>0.0534168904804536</v>
      </c>
      <c r="C12" s="46" t="n">
        <f aca="false">('Bijlage 5a'!C12/(SUM('Bijlage 5a'!C$5:C$31)))</f>
        <v>0.0553505535055351</v>
      </c>
      <c r="D12" s="45" t="n">
        <f aca="false">('Bijlage 5a'!D12/(SUM('Bijlage 5a'!D$5:D$31)))</f>
        <v>0.133127889060092</v>
      </c>
      <c r="E12" s="46" t="n">
        <f aca="false">('Bijlage 5a'!E12/(SUM('Bijlage 5a'!E$5:E$31)))</f>
        <v>0.122828784119107</v>
      </c>
      <c r="F12" s="45" t="n">
        <f aca="false">('Bijlage 5a'!F12/(SUM('Bijlage 5a'!F$5:F$31)))</f>
        <v>0.0194850382741823</v>
      </c>
      <c r="G12" s="46" t="n">
        <f aca="false">('Bijlage 5a'!G12/(SUM('Bijlage 5a'!G$5:G$31)))</f>
        <v>0.0786802030456853</v>
      </c>
      <c r="H12" s="34"/>
      <c r="J12" s="39"/>
    </row>
    <row r="13" customFormat="false" ht="13.5" hidden="false" customHeight="false" outlineLevel="0" collapsed="false">
      <c r="A13" s="33" t="n">
        <v>10</v>
      </c>
      <c r="B13" s="45" t="n">
        <f aca="false">('Bijlage 5a'!B13/(SUM('Bijlage 5a'!B$5:B$31)))</f>
        <v>0.0376007162041182</v>
      </c>
      <c r="C13" s="46" t="n">
        <f aca="false">('Bijlage 5a'!C13/(SUM('Bijlage 5a'!C$5:C$31)))</f>
        <v>0.0664206642066421</v>
      </c>
      <c r="D13" s="45" t="n">
        <f aca="false">('Bijlage 5a'!D13/(SUM('Bijlage 5a'!D$5:D$31)))</f>
        <v>0.11402157164869</v>
      </c>
      <c r="E13" s="46" t="n">
        <f aca="false">('Bijlage 5a'!E13/(SUM('Bijlage 5a'!E$5:E$31)))</f>
        <v>0.0794044665012407</v>
      </c>
      <c r="F13" s="45" t="n">
        <f aca="false">('Bijlage 5a'!F13/(SUM('Bijlage 5a'!F$5:F$31)))</f>
        <v>0.0187891440501044</v>
      </c>
      <c r="G13" s="46" t="n">
        <f aca="false">('Bijlage 5a'!G13/(SUM('Bijlage 5a'!G$5:G$31)))</f>
        <v>0.144670050761421</v>
      </c>
      <c r="H13" s="34"/>
      <c r="J13" s="39"/>
    </row>
    <row r="14" customFormat="false" ht="13.5" hidden="false" customHeight="false" outlineLevel="0" collapsed="false">
      <c r="A14" s="33" t="n">
        <v>11</v>
      </c>
      <c r="B14" s="45" t="n">
        <f aca="false">('Bijlage 5a'!B14/(SUM('Bijlage 5a'!B$5:B$31)))</f>
        <v>0.0199940316323486</v>
      </c>
      <c r="C14" s="46" t="n">
        <f aca="false">('Bijlage 5a'!C14/(SUM('Bijlage 5a'!C$5:C$31)))</f>
        <v>0.0885608856088561</v>
      </c>
      <c r="D14" s="45" t="n">
        <f aca="false">('Bijlage 5a'!D14/(SUM('Bijlage 5a'!D$5:D$31)))</f>
        <v>0.0480739599383667</v>
      </c>
      <c r="E14" s="46" t="n">
        <f aca="false">('Bijlage 5a'!E14/(SUM('Bijlage 5a'!E$5:E$31)))</f>
        <v>0.0359801488833747</v>
      </c>
      <c r="F14" s="45" t="n">
        <f aca="false">('Bijlage 5a'!F14/(SUM('Bijlage 5a'!F$5:F$31)))</f>
        <v>0.00765483646485734</v>
      </c>
      <c r="G14" s="46" t="n">
        <f aca="false">('Bijlage 5a'!G14/(SUM('Bijlage 5a'!G$5:G$31)))</f>
        <v>0.157360406091371</v>
      </c>
      <c r="H14" s="34"/>
      <c r="J14" s="39"/>
    </row>
    <row r="15" customFormat="false" ht="13.5" hidden="false" customHeight="false" outlineLevel="0" collapsed="false">
      <c r="A15" s="33" t="n">
        <v>12</v>
      </c>
      <c r="B15" s="45" t="n">
        <f aca="false">('Bijlage 5a'!B15/(SUM('Bijlage 5a'!B$5:B$31)))</f>
        <v>0.0220829603103551</v>
      </c>
      <c r="C15" s="46" t="n">
        <f aca="false">('Bijlage 5a'!C15/(SUM('Bijlage 5a'!C$5:C$31)))</f>
        <v>0.0664206642066421</v>
      </c>
      <c r="D15" s="45" t="n">
        <f aca="false">('Bijlage 5a'!D15/(SUM('Bijlage 5a'!D$5:D$31)))</f>
        <v>0.0302003081664099</v>
      </c>
      <c r="E15" s="46" t="n">
        <f aca="false">('Bijlage 5a'!E15/(SUM('Bijlage 5a'!E$5:E$31)))</f>
        <v>0.0136476426799007</v>
      </c>
      <c r="F15" s="45" t="n">
        <f aca="false">('Bijlage 5a'!F15/(SUM('Bijlage 5a'!F$5:F$31)))</f>
        <v>0.011830201809325</v>
      </c>
      <c r="G15" s="46" t="n">
        <f aca="false">('Bijlage 5a'!G15/(SUM('Bijlage 5a'!G$5:G$31)))</f>
        <v>0.142131979695431</v>
      </c>
      <c r="H15" s="34"/>
      <c r="J15" s="39"/>
    </row>
    <row r="16" customFormat="false" ht="13.5" hidden="false" customHeight="false" outlineLevel="0" collapsed="false">
      <c r="A16" s="33" t="n">
        <v>13</v>
      </c>
      <c r="B16" s="45" t="n">
        <f aca="false">('Bijlage 5a'!B16/(SUM('Bijlage 5a'!B$5:B$31)))</f>
        <v>0.0253655625186511</v>
      </c>
      <c r="C16" s="46" t="n">
        <f aca="false">('Bijlage 5a'!C16/(SUM('Bijlage 5a'!C$5:C$31)))</f>
        <v>0.0664206642066421</v>
      </c>
      <c r="D16" s="45" t="n">
        <f aca="false">('Bijlage 5a'!D16/(SUM('Bijlage 5a'!D$5:D$31)))</f>
        <v>0.0212634822804314</v>
      </c>
      <c r="E16" s="46" t="n">
        <f aca="false">('Bijlage 5a'!E16/(SUM('Bijlage 5a'!E$5:E$31)))</f>
        <v>0.0235732009925558</v>
      </c>
      <c r="F16" s="45" t="n">
        <f aca="false">('Bijlage 5a'!F16/(SUM('Bijlage 5a'!F$5:F$31)))</f>
        <v>0.0194850382741823</v>
      </c>
      <c r="G16" s="46" t="n">
        <f aca="false">('Bijlage 5a'!G16/(SUM('Bijlage 5a'!G$5:G$31)))</f>
        <v>0.0913705583756345</v>
      </c>
      <c r="H16" s="34"/>
      <c r="J16" s="39"/>
    </row>
    <row r="17" customFormat="false" ht="13.5" hidden="false" customHeight="false" outlineLevel="0" collapsed="false">
      <c r="A17" s="33" t="n">
        <v>14</v>
      </c>
      <c r="B17" s="45" t="n">
        <f aca="false">('Bijlage 5a'!B17/(SUM('Bijlage 5a'!B$5:B$31)))</f>
        <v>0.0373022978215458</v>
      </c>
      <c r="C17" s="46" t="n">
        <f aca="false">('Bijlage 5a'!C17/(SUM('Bijlage 5a'!C$5:C$31)))</f>
        <v>0.022140221402214</v>
      </c>
      <c r="D17" s="45" t="n">
        <f aca="false">('Bijlage 5a'!D17/(SUM('Bijlage 5a'!D$5:D$31)))</f>
        <v>0.0221879815100154</v>
      </c>
      <c r="E17" s="46" t="n">
        <f aca="false">('Bijlage 5a'!E17/(SUM('Bijlage 5a'!E$5:E$31)))</f>
        <v>0.0124069478908189</v>
      </c>
      <c r="F17" s="45" t="n">
        <f aca="false">('Bijlage 5a'!F17/(SUM('Bijlage 5a'!F$5:F$31)))</f>
        <v>0.0410577592205985</v>
      </c>
      <c r="G17" s="46" t="n">
        <f aca="false">('Bijlage 5a'!G17/(SUM('Bijlage 5a'!G$5:G$31)))</f>
        <v>0.0736040609137056</v>
      </c>
      <c r="H17" s="34"/>
      <c r="J17" s="39"/>
    </row>
    <row r="18" customFormat="false" ht="13.5" hidden="false" customHeight="false" outlineLevel="0" collapsed="false">
      <c r="A18" s="33" t="n">
        <v>15</v>
      </c>
      <c r="B18" s="45" t="n">
        <f aca="false">('Bijlage 5a'!B18/(SUM('Bijlage 5a'!B$5:B$31)))</f>
        <v>0.0528200537153089</v>
      </c>
      <c r="C18" s="46" t="n">
        <f aca="false">('Bijlage 5a'!C18/(SUM('Bijlage 5a'!C$5:C$31)))</f>
        <v>0.025830258302583</v>
      </c>
      <c r="D18" s="45" t="n">
        <f aca="false">('Bijlage 5a'!D18/(SUM('Bijlage 5a'!D$5:D$31)))</f>
        <v>0.0366718027734977</v>
      </c>
      <c r="E18" s="46" t="n">
        <f aca="false">('Bijlage 5a'!E18/(SUM('Bijlage 5a'!E$5:E$31)))</f>
        <v>0.0210918114143921</v>
      </c>
      <c r="F18" s="45" t="n">
        <f aca="false">('Bijlage 5a'!F18/(SUM('Bijlage 5a'!F$5:F$31)))</f>
        <v>0.0688935281837161</v>
      </c>
      <c r="G18" s="46" t="n">
        <f aca="false">('Bijlage 5a'!G18/(SUM('Bijlage 5a'!G$5:G$31)))</f>
        <v>0.0532994923857868</v>
      </c>
      <c r="H18" s="34"/>
      <c r="J18" s="39"/>
    </row>
    <row r="19" customFormat="false" ht="13.5" hidden="false" customHeight="false" outlineLevel="0" collapsed="false">
      <c r="A19" s="33" t="n">
        <v>16</v>
      </c>
      <c r="B19" s="45" t="n">
        <f aca="false">('Bijlage 5a'!B19/(SUM('Bijlage 5a'!B$5:B$31)))</f>
        <v>0.0572963294538944</v>
      </c>
      <c r="C19" s="46" t="n">
        <f aca="false">('Bijlage 5a'!C19/(SUM('Bijlage 5a'!C$5:C$31)))</f>
        <v>0.029520295202952</v>
      </c>
      <c r="D19" s="45" t="n">
        <f aca="false">('Bijlage 5a'!D19/(SUM('Bijlage 5a'!D$5:D$31)))</f>
        <v>0.0274268104776579</v>
      </c>
      <c r="E19" s="46" t="n">
        <f aca="false">('Bijlage 5a'!E19/(SUM('Bijlage 5a'!E$5:E$31)))</f>
        <v>0.0248138957816377</v>
      </c>
      <c r="F19" s="45" t="n">
        <f aca="false">('Bijlage 5a'!F19/(SUM('Bijlage 5a'!F$5:F$31)))</f>
        <v>0.100208768267223</v>
      </c>
      <c r="G19" s="46" t="n">
        <f aca="false">('Bijlage 5a'!G19/(SUM('Bijlage 5a'!G$5:G$31)))</f>
        <v>0.0228426395939086</v>
      </c>
      <c r="H19" s="34"/>
      <c r="J19" s="39"/>
    </row>
    <row r="20" customFormat="false" ht="13.5" hidden="false" customHeight="false" outlineLevel="0" collapsed="false">
      <c r="A20" s="33" t="n">
        <v>17</v>
      </c>
      <c r="B20" s="45" t="n">
        <f aca="false">('Bijlage 5a'!B20/(SUM('Bijlage 5a'!B$5:B$31)))</f>
        <v>0.0638615338704864</v>
      </c>
      <c r="C20" s="46" t="n">
        <f aca="false">('Bijlage 5a'!C20/(SUM('Bijlage 5a'!C$5:C$31)))</f>
        <v>0.011070110701107</v>
      </c>
      <c r="D20" s="45" t="n">
        <f aca="false">('Bijlage 5a'!D20/(SUM('Bijlage 5a'!D$5:D$31)))</f>
        <v>0.0249614791987673</v>
      </c>
      <c r="E20" s="46" t="n">
        <f aca="false">('Bijlage 5a'!E20/(SUM('Bijlage 5a'!E$5:E$31)))</f>
        <v>0.011166253101737</v>
      </c>
      <c r="F20" s="45" t="n">
        <f aca="false">('Bijlage 5a'!F20/(SUM('Bijlage 5a'!F$5:F$31)))</f>
        <v>0.128740431454419</v>
      </c>
      <c r="G20" s="46" t="n">
        <f aca="false">('Bijlage 5a'!G20/(SUM('Bijlage 5a'!G$5:G$31)))</f>
        <v>0.0050761421319797</v>
      </c>
      <c r="H20" s="34"/>
      <c r="J20" s="39"/>
    </row>
    <row r="21" customFormat="false" ht="13.5" hidden="false" customHeight="false" outlineLevel="0" collapsed="false">
      <c r="A21" s="33" t="n">
        <v>18</v>
      </c>
      <c r="B21" s="45" t="n">
        <f aca="false">('Bijlage 5a'!B21/(SUM('Bijlage 5a'!B$5:B$31)))</f>
        <v>0.0510295434198747</v>
      </c>
      <c r="C21" s="46" t="n">
        <f aca="false">('Bijlage 5a'!C21/(SUM('Bijlage 5a'!C$5:C$31)))</f>
        <v>0.00738007380073801</v>
      </c>
      <c r="D21" s="45" t="n">
        <f aca="false">('Bijlage 5a'!D21/(SUM('Bijlage 5a'!D$5:D$31)))</f>
        <v>0.0295839753466872</v>
      </c>
      <c r="E21" s="46" t="n">
        <f aca="false">('Bijlage 5a'!E21/(SUM('Bijlage 5a'!E$5:E$31)))</f>
        <v>0.00496277915632754</v>
      </c>
      <c r="F21" s="45" t="n">
        <f aca="false">('Bijlage 5a'!F21/(SUM('Bijlage 5a'!F$5:F$31)))</f>
        <v>0.11830201809325</v>
      </c>
      <c r="G21" s="46" t="n">
        <f aca="false">('Bijlage 5a'!G21/(SUM('Bijlage 5a'!G$5:G$31)))</f>
        <v>0.00253807106598985</v>
      </c>
      <c r="H21" s="34"/>
      <c r="J21" s="39"/>
    </row>
    <row r="22" customFormat="false" ht="13.5" hidden="false" customHeight="false" outlineLevel="0" collapsed="false">
      <c r="A22" s="33" t="n">
        <v>19</v>
      </c>
      <c r="B22" s="45" t="n">
        <f aca="false">('Bijlage 5a'!B22/(SUM('Bijlage 5a'!B$5:B$31)))</f>
        <v>0.0456580125335721</v>
      </c>
      <c r="C22" s="46" t="n">
        <f aca="false">('Bijlage 5a'!C22/(SUM('Bijlage 5a'!C$5:C$31)))</f>
        <v>0</v>
      </c>
      <c r="D22" s="45" t="n">
        <f aca="false">('Bijlage 5a'!D22/(SUM('Bijlage 5a'!D$5:D$31)))</f>
        <v>0.0181818181818182</v>
      </c>
      <c r="E22" s="46" t="n">
        <f aca="false">('Bijlage 5a'!E22/(SUM('Bijlage 5a'!E$5:E$31)))</f>
        <v>0.00248138957816377</v>
      </c>
      <c r="F22" s="45" t="n">
        <f aca="false">('Bijlage 5a'!F22/(SUM('Bijlage 5a'!F$5:F$31)))</f>
        <v>0.101600556715379</v>
      </c>
      <c r="G22" s="46" t="n">
        <f aca="false">('Bijlage 5a'!G22/(SUM('Bijlage 5a'!G$5:G$31)))</f>
        <v>0.00253807106598985</v>
      </c>
      <c r="H22" s="34"/>
      <c r="J22" s="39"/>
    </row>
    <row r="23" customFormat="false" ht="13.5" hidden="false" customHeight="false" outlineLevel="0" collapsed="false">
      <c r="A23" s="33" t="n">
        <v>20</v>
      </c>
      <c r="B23" s="45" t="n">
        <f aca="false">('Bijlage 5a'!B23/(SUM('Bijlage 5a'!B$5:B$31)))</f>
        <v>0.0387943897344076</v>
      </c>
      <c r="C23" s="46" t="n">
        <f aca="false">('Bijlage 5a'!C23/(SUM('Bijlage 5a'!C$5:C$31)))</f>
        <v>0</v>
      </c>
      <c r="D23" s="45" t="n">
        <f aca="false">('Bijlage 5a'!D23/(SUM('Bijlage 5a'!D$5:D$31)))</f>
        <v>0.0271186440677966</v>
      </c>
      <c r="E23" s="46" t="n">
        <f aca="false">('Bijlage 5a'!E23/(SUM('Bijlage 5a'!E$5:E$31)))</f>
        <v>0.00248138957816377</v>
      </c>
      <c r="F23" s="45" t="n">
        <f aca="false">('Bijlage 5a'!F23/(SUM('Bijlage 5a'!F$5:F$31)))</f>
        <v>0.0897703549060543</v>
      </c>
      <c r="G23" s="46" t="n">
        <f aca="false">('Bijlage 5a'!G23/(SUM('Bijlage 5a'!G$5:G$31)))</f>
        <v>0</v>
      </c>
      <c r="H23" s="34"/>
      <c r="J23" s="39"/>
    </row>
    <row r="24" customFormat="false" ht="13.5" hidden="false" customHeight="false" outlineLevel="0" collapsed="false">
      <c r="A24" s="33" t="n">
        <v>21</v>
      </c>
      <c r="B24" s="45" t="n">
        <f aca="false">('Bijlage 5a'!B24/(SUM('Bijlage 5a'!B$5:B$31)))</f>
        <v>0.0241718889883617</v>
      </c>
      <c r="C24" s="46" t="n">
        <f aca="false">('Bijlage 5a'!C24/(SUM('Bijlage 5a'!C$5:C$31)))</f>
        <v>0</v>
      </c>
      <c r="D24" s="45" t="n">
        <f aca="false">('Bijlage 5a'!D24/(SUM('Bijlage 5a'!D$5:D$31)))</f>
        <v>0.0240369799691834</v>
      </c>
      <c r="E24" s="46" t="n">
        <f aca="false">('Bijlage 5a'!E24/(SUM('Bijlage 5a'!E$5:E$31)))</f>
        <v>0</v>
      </c>
      <c r="F24" s="45" t="n">
        <f aca="false">('Bijlage 5a'!F24/(SUM('Bijlage 5a'!F$5:F$31)))</f>
        <v>0.0542797494780793</v>
      </c>
      <c r="G24" s="46" t="n">
        <f aca="false">('Bijlage 5a'!G24/(SUM('Bijlage 5a'!G$5:G$31)))</f>
        <v>0.0050761421319797</v>
      </c>
      <c r="H24" s="34"/>
      <c r="J24" s="39"/>
    </row>
    <row r="25" customFormat="false" ht="13.5" hidden="false" customHeight="false" outlineLevel="0" collapsed="false">
      <c r="A25" s="33" t="n">
        <v>22</v>
      </c>
      <c r="B25" s="45" t="n">
        <f aca="false">('Bijlage 5a'!B25/(SUM('Bijlage 5a'!B$5:B$31)))</f>
        <v>0.0170098478066249</v>
      </c>
      <c r="C25" s="46" t="n">
        <f aca="false">('Bijlage 5a'!C25/(SUM('Bijlage 5a'!C$5:C$31)))</f>
        <v>0</v>
      </c>
      <c r="D25" s="45" t="n">
        <f aca="false">('Bijlage 5a'!D25/(SUM('Bijlage 5a'!D$5:D$31)))</f>
        <v>0.0271186440677966</v>
      </c>
      <c r="E25" s="46" t="n">
        <f aca="false">('Bijlage 5a'!E25/(SUM('Bijlage 5a'!E$5:E$31)))</f>
        <v>0.00124069478908189</v>
      </c>
      <c r="F25" s="45" t="n">
        <f aca="false">('Bijlage 5a'!F25/(SUM('Bijlage 5a'!F$5:F$31)))</f>
        <v>0.0368823938761308</v>
      </c>
      <c r="G25" s="46" t="n">
        <f aca="false">('Bijlage 5a'!G25/(SUM('Bijlage 5a'!G$5:G$31)))</f>
        <v>0</v>
      </c>
      <c r="H25" s="34"/>
      <c r="J25" s="39"/>
    </row>
    <row r="26" customFormat="false" ht="13.5" hidden="false" customHeight="false" outlineLevel="0" collapsed="false">
      <c r="A26" s="33" t="n">
        <v>23</v>
      </c>
      <c r="B26" s="45" t="n">
        <f aca="false">('Bijlage 5a'!B26/(SUM('Bijlage 5a'!B$5:B$31)))</f>
        <v>0.00984780662488809</v>
      </c>
      <c r="C26" s="46" t="n">
        <f aca="false">('Bijlage 5a'!C26/(SUM('Bijlage 5a'!C$5:C$31)))</f>
        <v>0</v>
      </c>
      <c r="D26" s="45" t="n">
        <f aca="false">('Bijlage 5a'!D26/(SUM('Bijlage 5a'!D$5:D$31)))</f>
        <v>0.0191063174114022</v>
      </c>
      <c r="E26" s="46" t="n">
        <f aca="false">('Bijlage 5a'!E26/(SUM('Bijlage 5a'!E$5:E$31)))</f>
        <v>0</v>
      </c>
      <c r="F26" s="45" t="n">
        <f aca="false">('Bijlage 5a'!F26/(SUM('Bijlage 5a'!F$5:F$31)))</f>
        <v>0.0139178844815588</v>
      </c>
      <c r="G26" s="46" t="n">
        <f aca="false">('Bijlage 5a'!G26/(SUM('Bijlage 5a'!G$5:G$31)))</f>
        <v>0</v>
      </c>
      <c r="H26" s="34"/>
      <c r="J26" s="39"/>
    </row>
    <row r="27" customFormat="false" ht="13.5" hidden="false" customHeight="false" outlineLevel="0" collapsed="false">
      <c r="A27" s="33" t="n">
        <v>24</v>
      </c>
      <c r="B27" s="45" t="n">
        <f aca="false">('Bijlage 5a'!B27/(SUM('Bijlage 5a'!B$5:B$31)))</f>
        <v>0.00328260220829603</v>
      </c>
      <c r="C27" s="46" t="n">
        <f aca="false">('Bijlage 5a'!C27/(SUM('Bijlage 5a'!C$5:C$31)))</f>
        <v>0</v>
      </c>
      <c r="D27" s="45" t="n">
        <f aca="false">('Bijlage 5a'!D27/(SUM('Bijlage 5a'!D$5:D$31)))</f>
        <v>0.00708782742681048</v>
      </c>
      <c r="E27" s="46" t="n">
        <f aca="false">('Bijlage 5a'!E27/(SUM('Bijlage 5a'!E$5:E$31)))</f>
        <v>0</v>
      </c>
      <c r="F27" s="45" t="n">
        <f aca="false">('Bijlage 5a'!F27/(SUM('Bijlage 5a'!F$5:F$31)))</f>
        <v>0.0034794711203897</v>
      </c>
      <c r="G27" s="46" t="n">
        <f aca="false">('Bijlage 5a'!G27/(SUM('Bijlage 5a'!G$5:G$31)))</f>
        <v>0</v>
      </c>
      <c r="H27" s="34"/>
      <c r="J27" s="39"/>
    </row>
    <row r="28" customFormat="false" ht="13.5" hidden="false" customHeight="false" outlineLevel="0" collapsed="false">
      <c r="A28" s="33" t="n">
        <v>25</v>
      </c>
      <c r="B28" s="45" t="n">
        <f aca="false">('Bijlage 5a'!B28/(SUM('Bijlage 5a'!B$5:B$31)))</f>
        <v>0.0017905102954342</v>
      </c>
      <c r="C28" s="46" t="n">
        <f aca="false">('Bijlage 5a'!C28/(SUM('Bijlage 5a'!C$5:C$31)))</f>
        <v>0</v>
      </c>
      <c r="D28" s="45" t="n">
        <f aca="false">('Bijlage 5a'!D28/(SUM('Bijlage 5a'!D$5:D$31)))</f>
        <v>0.00523882896764253</v>
      </c>
      <c r="E28" s="46" t="n">
        <f aca="false">('Bijlage 5a'!E28/(SUM('Bijlage 5a'!E$5:E$31)))</f>
        <v>0</v>
      </c>
      <c r="F28" s="45" t="n">
        <f aca="false">('Bijlage 5a'!F28/(SUM('Bijlage 5a'!F$5:F$31)))</f>
        <v>0</v>
      </c>
      <c r="G28" s="46" t="n">
        <f aca="false">('Bijlage 5a'!G28/(SUM('Bijlage 5a'!G$5:G$31)))</f>
        <v>0</v>
      </c>
      <c r="H28" s="34"/>
      <c r="J28" s="39"/>
    </row>
    <row r="29" customFormat="false" ht="13.5" hidden="false" customHeight="false" outlineLevel="0" collapsed="false">
      <c r="A29" s="33" t="n">
        <v>26</v>
      </c>
      <c r="B29" s="45" t="n">
        <f aca="false">('Bijlage 5a'!B29/(SUM('Bijlage 5a'!B$5:B$31)))</f>
        <v>0.000298418382572367</v>
      </c>
      <c r="C29" s="46" t="n">
        <f aca="false">('Bijlage 5a'!C29/(SUM('Bijlage 5a'!C$5:C$31)))</f>
        <v>0</v>
      </c>
      <c r="D29" s="45" t="n">
        <f aca="false">('Bijlage 5a'!D29/(SUM('Bijlage 5a'!D$5:D$31)))</f>
        <v>0.00400616332819723</v>
      </c>
      <c r="E29" s="46" t="n">
        <f aca="false">('Bijlage 5a'!E29/(SUM('Bijlage 5a'!E$5:E$31)))</f>
        <v>0</v>
      </c>
      <c r="F29" s="45" t="n">
        <f aca="false">('Bijlage 5a'!F29/(SUM('Bijlage 5a'!F$5:F$31)))</f>
        <v>0</v>
      </c>
      <c r="G29" s="46" t="n">
        <f aca="false">('Bijlage 5a'!G29/(SUM('Bijlage 5a'!G$5:G$31)))</f>
        <v>0</v>
      </c>
      <c r="H29" s="34"/>
      <c r="J29" s="39"/>
    </row>
    <row r="30" customFormat="false" ht="13.5" hidden="false" customHeight="false" outlineLevel="0" collapsed="false">
      <c r="A30" s="33" t="n">
        <v>27</v>
      </c>
      <c r="B30" s="45" t="n">
        <f aca="false">('Bijlage 5a'!B30/(SUM('Bijlage 5a'!B$5:B$31)))</f>
        <v>0.000298418382572367</v>
      </c>
      <c r="C30" s="46" t="n">
        <f aca="false">('Bijlage 5a'!C30/(SUM('Bijlage 5a'!C$5:C$31)))</f>
        <v>0</v>
      </c>
      <c r="D30" s="45" t="n">
        <f aca="false">('Bijlage 5a'!D30/(SUM('Bijlage 5a'!D$5:D$31)))</f>
        <v>0.00184899845916795</v>
      </c>
      <c r="E30" s="46" t="n">
        <f aca="false">('Bijlage 5a'!E30/(SUM('Bijlage 5a'!E$5:E$31)))</f>
        <v>0</v>
      </c>
      <c r="F30" s="45" t="n">
        <f aca="false">('Bijlage 5a'!F30/(SUM('Bijlage 5a'!F$5:F$31)))</f>
        <v>0</v>
      </c>
      <c r="G30" s="46" t="n">
        <f aca="false">('Bijlage 5a'!G30/(SUM('Bijlage 5a'!G$5:G$31)))</f>
        <v>0</v>
      </c>
      <c r="H30" s="34"/>
      <c r="J30" s="39"/>
    </row>
    <row r="31" customFormat="false" ht="13.5" hidden="false" customHeight="false" outlineLevel="0" collapsed="false">
      <c r="A31" s="33" t="n">
        <v>28</v>
      </c>
      <c r="B31" s="45" t="n">
        <f aca="false">('Bijlage 5a'!B31/(SUM('Bijlage 5a'!B$5:B$31)))</f>
        <v>0.000298418382572367</v>
      </c>
      <c r="C31" s="46" t="n">
        <f aca="false">('Bijlage 5a'!C31/(SUM('Bijlage 5a'!C$5:C$31)))</f>
        <v>0</v>
      </c>
      <c r="D31" s="45" t="n">
        <f aca="false">('Bijlage 5a'!D31/(SUM('Bijlage 5a'!D$5:D$31)))</f>
        <v>0.00061633281972265</v>
      </c>
      <c r="E31" s="46" t="n">
        <f aca="false">('Bijlage 5a'!E31/(SUM('Bijlage 5a'!E$5:E$31)))</f>
        <v>0</v>
      </c>
      <c r="F31" s="45" t="n">
        <f aca="false">('Bijlage 5a'!F31/(SUM('Bijlage 5a'!F$5:F$31)))</f>
        <v>0</v>
      </c>
      <c r="G31" s="46" t="n">
        <f aca="false">('Bijlage 5a'!G31/(SUM('Bijlage 5a'!G$5:G$31)))</f>
        <v>0</v>
      </c>
      <c r="H31" s="34"/>
      <c r="J31" s="39"/>
    </row>
    <row r="32" customFormat="false" ht="13.5" hidden="false" customHeight="false" outlineLevel="0" collapsed="false">
      <c r="A32" s="33" t="n">
        <v>29</v>
      </c>
      <c r="B32" s="45"/>
      <c r="C32" s="46"/>
      <c r="D32" s="45"/>
      <c r="E32" s="46"/>
      <c r="F32" s="45"/>
      <c r="G32" s="46"/>
      <c r="H32" s="34"/>
      <c r="J32" s="39"/>
    </row>
    <row r="33" customFormat="false" ht="13.5" hidden="false" customHeight="false" outlineLevel="0" collapsed="false">
      <c r="A33" s="33" t="n">
        <v>30</v>
      </c>
      <c r="B33" s="45"/>
      <c r="C33" s="46"/>
      <c r="D33" s="45"/>
      <c r="E33" s="46"/>
      <c r="F33" s="45"/>
      <c r="G33" s="46"/>
      <c r="H33" s="34"/>
      <c r="J33" s="39"/>
    </row>
    <row r="34" customFormat="false" ht="13.5" hidden="false" customHeight="false" outlineLevel="0" collapsed="false">
      <c r="A34" s="33" t="n">
        <v>31</v>
      </c>
      <c r="B34" s="45"/>
      <c r="C34" s="46"/>
      <c r="D34" s="45"/>
      <c r="E34" s="46"/>
      <c r="F34" s="45"/>
      <c r="G34" s="46"/>
      <c r="H34" s="34"/>
      <c r="J34" s="39"/>
    </row>
    <row r="35" customFormat="false" ht="13.5" hidden="false" customHeight="false" outlineLevel="0" collapsed="false">
      <c r="A35" s="33" t="n">
        <v>32</v>
      </c>
      <c r="B35" s="45"/>
      <c r="C35" s="46"/>
      <c r="D35" s="45"/>
      <c r="E35" s="46"/>
      <c r="F35" s="45"/>
      <c r="G35" s="46"/>
      <c r="H35" s="34"/>
      <c r="J35" s="39"/>
    </row>
    <row r="36" customFormat="false" ht="13.5" hidden="false" customHeight="false" outlineLevel="0" collapsed="false">
      <c r="A36" s="33" t="n">
        <v>33</v>
      </c>
      <c r="B36" s="45"/>
      <c r="C36" s="46"/>
      <c r="D36" s="45"/>
      <c r="E36" s="46"/>
      <c r="F36" s="45"/>
      <c r="G36" s="46"/>
      <c r="H36" s="34"/>
      <c r="J36" s="39"/>
    </row>
    <row r="37" customFormat="false" ht="13.5" hidden="false" customHeight="false" outlineLevel="0" collapsed="false">
      <c r="A37" s="33" t="n">
        <v>34</v>
      </c>
      <c r="B37" s="45"/>
      <c r="C37" s="46"/>
      <c r="D37" s="45"/>
      <c r="E37" s="46"/>
      <c r="F37" s="45"/>
      <c r="G37" s="46"/>
      <c r="H37" s="34"/>
      <c r="J37" s="39"/>
    </row>
    <row r="38" customFormat="false" ht="13.5" hidden="false" customHeight="false" outlineLevel="0" collapsed="false">
      <c r="A38" s="33" t="n">
        <v>35</v>
      </c>
      <c r="B38" s="45"/>
      <c r="C38" s="46"/>
      <c r="D38" s="45"/>
      <c r="E38" s="46"/>
      <c r="F38" s="45"/>
      <c r="G38" s="46"/>
      <c r="J38" s="39"/>
    </row>
    <row r="39" customFormat="false" ht="13.5" hidden="false" customHeight="false" outlineLevel="0" collapsed="false">
      <c r="A39" s="33" t="n">
        <v>36</v>
      </c>
      <c r="B39" s="45"/>
      <c r="C39" s="46"/>
      <c r="D39" s="45"/>
      <c r="E39" s="46"/>
      <c r="F39" s="47"/>
      <c r="G39" s="46"/>
      <c r="J39" s="39"/>
    </row>
    <row r="40" customFormat="false" ht="13.5" hidden="false" customHeight="false" outlineLevel="0" collapsed="false">
      <c r="A40" s="37" t="s">
        <v>142</v>
      </c>
      <c r="B40" s="48" t="n">
        <f aca="false">SUM(B5:B39)</f>
        <v>1</v>
      </c>
      <c r="C40" s="48" t="n">
        <f aca="false">SUM(C5:C39)</f>
        <v>1</v>
      </c>
      <c r="D40" s="48" t="n">
        <f aca="false">SUM(D5:D39)</f>
        <v>1</v>
      </c>
      <c r="E40" s="48" t="n">
        <f aca="false">SUM(E5:E39)</f>
        <v>1</v>
      </c>
      <c r="F40" s="48" t="n">
        <f aca="false">SUM(F5:F39)</f>
        <v>1</v>
      </c>
      <c r="G40" s="48" t="n">
        <f aca="false">SUM(G5:G39)</f>
        <v>1</v>
      </c>
      <c r="H40" s="34"/>
    </row>
    <row r="1048576" customFormat="false" ht="12.8" hidden="false" customHeight="false" outlineLevel="0" collapsed="false"/>
  </sheetData>
  <mergeCells count="4">
    <mergeCell ref="A3:A4"/>
    <mergeCell ref="B3:C3"/>
    <mergeCell ref="D3:E3"/>
    <mergeCell ref="F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4" activeCellId="0" sqref="E14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2" min="2" style="0" width="10.34"/>
    <col collapsed="false" customWidth="true" hidden="false" outlineLevel="0" max="3" min="3" style="49" width="9.45"/>
    <col collapsed="false" customWidth="true" hidden="false" outlineLevel="0" max="4" min="4" style="0" width="10.34"/>
    <col collapsed="false" customWidth="true" hidden="false" outlineLevel="0" max="5" min="5" style="49" width="8.89"/>
    <col collapsed="false" customWidth="true" hidden="false" outlineLevel="0" max="6" min="6" style="0" width="10.34"/>
    <col collapsed="false" customWidth="true" hidden="false" outlineLevel="0" max="7" min="7" style="49" width="9.45"/>
    <col collapsed="false" customWidth="true" hidden="false" outlineLevel="0" max="8" min="8" style="0" width="10.34"/>
    <col collapsed="false" customWidth="true" hidden="false" outlineLevel="0" max="9" min="9" style="49" width="10.55"/>
    <col collapsed="false" customWidth="true" hidden="false" outlineLevel="0" max="10" min="10" style="0" width="10.34"/>
    <col collapsed="false" customWidth="true" hidden="false" outlineLevel="0" max="11" min="11" style="49" width="9.45"/>
    <col collapsed="false" customWidth="true" hidden="false" outlineLevel="0" max="12" min="12" style="0" width="10.34"/>
    <col collapsed="false" customWidth="true" hidden="false" outlineLevel="0" max="13" min="13" style="49" width="10.55"/>
    <col collapsed="false" customWidth="true" hidden="false" outlineLevel="0" max="15" min="15" style="49" width="9.45"/>
    <col collapsed="false" customWidth="true" hidden="false" outlineLevel="0" max="17" min="17" style="49" width="10.55"/>
    <col collapsed="false" customWidth="true" hidden="false" outlineLevel="0" max="19" min="19" style="49" width="8.89"/>
    <col collapsed="false" customWidth="true" hidden="false" outlineLevel="0" max="21" min="21" style="49" width="8.89"/>
  </cols>
  <sheetData>
    <row r="1" customFormat="false" ht="13.5" hidden="false" customHeight="false" outlineLevel="0" collapsed="false">
      <c r="A1" s="0" t="s">
        <v>148</v>
      </c>
    </row>
    <row r="2" customFormat="false" ht="13.5" hidden="false" customHeight="false" outlineLevel="0" collapsed="false">
      <c r="B2" s="50" t="s">
        <v>149</v>
      </c>
    </row>
    <row r="3" customFormat="false" ht="13.5" hidden="false" customHeight="false" outlineLevel="0" collapsed="false">
      <c r="A3" s="51" t="s">
        <v>150</v>
      </c>
      <c r="B3" s="51" t="s">
        <v>139</v>
      </c>
      <c r="C3" s="51"/>
      <c r="D3" s="51"/>
      <c r="E3" s="51"/>
      <c r="F3" s="52" t="s">
        <v>140</v>
      </c>
      <c r="G3" s="52"/>
      <c r="H3" s="52"/>
      <c r="I3" s="52"/>
      <c r="J3" s="51" t="s">
        <v>147</v>
      </c>
      <c r="K3" s="51"/>
      <c r="L3" s="51"/>
      <c r="M3" s="51"/>
      <c r="N3" s="53"/>
      <c r="O3" s="53"/>
      <c r="P3" s="53"/>
      <c r="Q3" s="53"/>
      <c r="R3" s="54"/>
      <c r="S3" s="54"/>
      <c r="T3" s="54"/>
      <c r="U3" s="54"/>
    </row>
    <row r="4" customFormat="false" ht="13.5" hidden="false" customHeight="false" outlineLevel="0" collapsed="false">
      <c r="A4" s="51"/>
      <c r="B4" s="51" t="s">
        <v>151</v>
      </c>
      <c r="C4" s="51"/>
      <c r="D4" s="51" t="s">
        <v>152</v>
      </c>
      <c r="E4" s="51"/>
      <c r="F4" s="51" t="s">
        <v>151</v>
      </c>
      <c r="G4" s="51"/>
      <c r="H4" s="51" t="s">
        <v>152</v>
      </c>
      <c r="I4" s="51"/>
      <c r="J4" s="51" t="s">
        <v>151</v>
      </c>
      <c r="K4" s="51"/>
      <c r="L4" s="51" t="s">
        <v>152</v>
      </c>
      <c r="M4" s="51"/>
      <c r="N4" s="53"/>
      <c r="O4" s="53"/>
      <c r="P4" s="54"/>
      <c r="Q4" s="54"/>
      <c r="R4" s="54"/>
      <c r="S4" s="54"/>
      <c r="T4" s="54"/>
      <c r="U4" s="54"/>
    </row>
    <row r="5" customFormat="false" ht="13.5" hidden="false" customHeight="false" outlineLevel="0" collapsed="false">
      <c r="A5" s="51"/>
      <c r="B5" s="55" t="s">
        <v>153</v>
      </c>
      <c r="C5" s="56" t="s">
        <v>154</v>
      </c>
      <c r="D5" s="55" t="s">
        <v>153</v>
      </c>
      <c r="E5" s="57" t="s">
        <v>155</v>
      </c>
      <c r="F5" s="55" t="s">
        <v>153</v>
      </c>
      <c r="G5" s="57" t="s">
        <v>154</v>
      </c>
      <c r="H5" s="58" t="s">
        <v>153</v>
      </c>
      <c r="I5" s="56" t="s">
        <v>155</v>
      </c>
      <c r="J5" s="58" t="s">
        <v>153</v>
      </c>
      <c r="K5" s="57" t="s">
        <v>154</v>
      </c>
      <c r="L5" s="58" t="s">
        <v>153</v>
      </c>
      <c r="M5" s="56" t="s">
        <v>155</v>
      </c>
      <c r="N5" s="34"/>
    </row>
    <row r="6" customFormat="false" ht="13.5" hidden="false" customHeight="false" outlineLevel="0" collapsed="false">
      <c r="A6" s="33" t="n">
        <v>7</v>
      </c>
      <c r="B6" s="59" t="n">
        <v>1.09</v>
      </c>
      <c r="C6" s="60" t="n">
        <v>40</v>
      </c>
      <c r="D6" s="61" t="n">
        <v>1.43</v>
      </c>
      <c r="E6" s="49" t="n">
        <v>38</v>
      </c>
      <c r="F6" s="62" t="n">
        <v>1.21</v>
      </c>
      <c r="G6" s="60" t="n">
        <v>40</v>
      </c>
      <c r="H6" s="59" t="n">
        <v>1.6975</v>
      </c>
      <c r="I6" s="60" t="n">
        <v>40</v>
      </c>
      <c r="J6" s="62" t="n">
        <v>1.25</v>
      </c>
      <c r="K6" s="60" t="n">
        <v>40</v>
      </c>
      <c r="L6" s="59" t="n">
        <v>1.76</v>
      </c>
      <c r="M6" s="63" t="n">
        <v>21</v>
      </c>
      <c r="N6" s="59"/>
      <c r="P6" s="59"/>
      <c r="R6" s="59"/>
      <c r="T6" s="59"/>
    </row>
    <row r="7" customFormat="false" ht="13.5" hidden="false" customHeight="false" outlineLevel="0" collapsed="false">
      <c r="A7" s="33" t="n">
        <v>8</v>
      </c>
      <c r="B7" s="59" t="n">
        <v>1.62</v>
      </c>
      <c r="C7" s="60" t="n">
        <v>40</v>
      </c>
      <c r="D7" s="62" t="n">
        <v>2.76</v>
      </c>
      <c r="E7" s="49" t="n">
        <v>23</v>
      </c>
      <c r="F7" s="62" t="n">
        <v>1.82</v>
      </c>
      <c r="G7" s="60" t="n">
        <v>40</v>
      </c>
      <c r="H7" s="59" t="n">
        <v>2.244</v>
      </c>
      <c r="I7" s="60" t="n">
        <v>40</v>
      </c>
      <c r="J7" s="62" t="n">
        <v>1.85</v>
      </c>
      <c r="K7" s="60" t="n">
        <v>40</v>
      </c>
      <c r="L7" s="59" t="n">
        <v>2.44</v>
      </c>
      <c r="M7" s="60" t="n">
        <v>35</v>
      </c>
      <c r="N7" s="59"/>
      <c r="P7" s="59"/>
      <c r="R7" s="59"/>
      <c r="T7" s="59"/>
    </row>
    <row r="8" customFormat="false" ht="13.5" hidden="false" customHeight="false" outlineLevel="0" collapsed="false">
      <c r="A8" s="33" t="n">
        <v>9</v>
      </c>
      <c r="B8" s="59" t="n">
        <v>2.22</v>
      </c>
      <c r="C8" s="60" t="n">
        <v>40</v>
      </c>
      <c r="D8" s="62" t="n">
        <v>2.62</v>
      </c>
      <c r="E8" s="49" t="n">
        <v>15</v>
      </c>
      <c r="F8" s="62" t="n">
        <v>2.25</v>
      </c>
      <c r="G8" s="60" t="n">
        <v>40</v>
      </c>
      <c r="H8" s="59" t="n">
        <v>3.05</v>
      </c>
      <c r="I8" s="60" t="n">
        <v>40</v>
      </c>
      <c r="J8" s="59" t="n">
        <v>2.41</v>
      </c>
      <c r="K8" s="60" t="n">
        <v>28</v>
      </c>
      <c r="L8" s="59" t="n">
        <v>3.57</v>
      </c>
      <c r="M8" s="60" t="n">
        <v>31</v>
      </c>
      <c r="N8" s="59"/>
      <c r="P8" s="59"/>
      <c r="R8" s="59"/>
      <c r="T8" s="59"/>
    </row>
    <row r="9" customFormat="false" ht="13.5" hidden="false" customHeight="false" outlineLevel="0" collapsed="false">
      <c r="A9" s="33" t="n">
        <v>10</v>
      </c>
      <c r="B9" s="59" t="n">
        <v>3.03</v>
      </c>
      <c r="C9" s="60" t="n">
        <v>40</v>
      </c>
      <c r="D9" s="62" t="n">
        <v>3.87</v>
      </c>
      <c r="E9" s="49" t="n">
        <v>18</v>
      </c>
      <c r="F9" s="62" t="n">
        <v>3.14</v>
      </c>
      <c r="G9" s="60" t="n">
        <v>40</v>
      </c>
      <c r="H9" s="59" t="n">
        <v>3.95</v>
      </c>
      <c r="I9" s="60" t="n">
        <v>40</v>
      </c>
      <c r="J9" s="62" t="n">
        <v>3.32</v>
      </c>
      <c r="K9" s="60" t="n">
        <v>27</v>
      </c>
      <c r="L9" s="59" t="n">
        <v>4.925</v>
      </c>
      <c r="M9" s="60" t="n">
        <v>40</v>
      </c>
      <c r="N9" s="59"/>
      <c r="P9" s="59"/>
      <c r="R9" s="59"/>
      <c r="T9" s="59"/>
    </row>
    <row r="10" customFormat="false" ht="13.5" hidden="false" customHeight="false" outlineLevel="0" collapsed="false">
      <c r="A10" s="33" t="n">
        <v>11</v>
      </c>
      <c r="B10" s="59" t="n">
        <v>3.99</v>
      </c>
      <c r="C10" s="60" t="n">
        <v>40</v>
      </c>
      <c r="D10" s="62" t="n">
        <v>5.11</v>
      </c>
      <c r="E10" s="49" t="n">
        <v>24</v>
      </c>
      <c r="F10" s="62" t="n">
        <v>3.96</v>
      </c>
      <c r="G10" s="60" t="n">
        <v>40</v>
      </c>
      <c r="H10" s="59" t="n">
        <v>4.603</v>
      </c>
      <c r="I10" s="60" t="n">
        <v>29</v>
      </c>
      <c r="J10" s="62" t="n">
        <v>5.64</v>
      </c>
      <c r="K10" s="60" t="n">
        <v>11</v>
      </c>
      <c r="L10" s="59" t="n">
        <v>5.675</v>
      </c>
      <c r="M10" s="60" t="n">
        <v>40</v>
      </c>
      <c r="N10" s="59"/>
      <c r="P10" s="59"/>
      <c r="R10" s="59"/>
      <c r="T10" s="59"/>
    </row>
    <row r="11" customFormat="false" ht="13.5" hidden="false" customHeight="false" outlineLevel="0" collapsed="false">
      <c r="A11" s="33" t="n">
        <v>12</v>
      </c>
      <c r="B11" s="59" t="n">
        <v>5.32</v>
      </c>
      <c r="C11" s="60" t="n">
        <v>40</v>
      </c>
      <c r="D11" s="62" t="n">
        <v>5.82</v>
      </c>
      <c r="E11" s="49" t="n">
        <v>18</v>
      </c>
      <c r="F11" s="62" t="n">
        <v>4.73</v>
      </c>
      <c r="G11" s="60" t="n">
        <v>40</v>
      </c>
      <c r="H11" s="59" t="n">
        <v>6.29</v>
      </c>
      <c r="I11" s="60" t="n">
        <v>11</v>
      </c>
      <c r="J11" s="62" t="n">
        <v>6</v>
      </c>
      <c r="K11" s="60" t="n">
        <v>17</v>
      </c>
      <c r="L11" s="59" t="n">
        <v>7.33</v>
      </c>
      <c r="M11" s="60" t="n">
        <v>40</v>
      </c>
      <c r="N11" s="59"/>
      <c r="P11" s="59"/>
      <c r="R11" s="59"/>
      <c r="T11" s="59"/>
    </row>
    <row r="12" customFormat="false" ht="13.5" hidden="false" customHeight="false" outlineLevel="0" collapsed="false">
      <c r="A12" s="33" t="n">
        <v>13</v>
      </c>
      <c r="B12" s="59" t="n">
        <v>5.66</v>
      </c>
      <c r="C12" s="60" t="n">
        <v>40</v>
      </c>
      <c r="D12" s="62" t="n">
        <v>7.55</v>
      </c>
      <c r="E12" s="49" t="n">
        <v>18</v>
      </c>
      <c r="F12" s="62" t="n">
        <v>6.02</v>
      </c>
      <c r="G12" s="60" t="n">
        <v>40</v>
      </c>
      <c r="H12" s="59" t="n">
        <v>7.66</v>
      </c>
      <c r="I12" s="60" t="n">
        <v>19</v>
      </c>
      <c r="J12" s="62" t="n">
        <v>7.96</v>
      </c>
      <c r="K12" s="60" t="n">
        <v>28</v>
      </c>
      <c r="L12" s="59" t="n">
        <v>9.05</v>
      </c>
      <c r="M12" s="60" t="n">
        <v>36</v>
      </c>
      <c r="N12" s="59"/>
      <c r="P12" s="59"/>
      <c r="R12" s="59"/>
      <c r="T12" s="59"/>
    </row>
    <row r="13" customFormat="false" ht="13.5" hidden="false" customHeight="false" outlineLevel="0" collapsed="false">
      <c r="A13" s="33" t="n">
        <v>14</v>
      </c>
      <c r="B13" s="59" t="n">
        <v>6.64</v>
      </c>
      <c r="C13" s="60" t="n">
        <v>40</v>
      </c>
      <c r="D13" s="62"/>
      <c r="E13" s="60"/>
      <c r="F13" s="62" t="n">
        <v>6.69</v>
      </c>
      <c r="G13" s="60" t="n">
        <v>40</v>
      </c>
      <c r="H13" s="59" t="n">
        <v>9.1</v>
      </c>
      <c r="I13" s="60" t="n">
        <v>10</v>
      </c>
      <c r="J13" s="62" t="n">
        <v>9.09</v>
      </c>
      <c r="K13" s="60" t="n">
        <v>40</v>
      </c>
      <c r="L13" s="59" t="n">
        <v>10.05</v>
      </c>
      <c r="M13" s="60" t="n">
        <v>29</v>
      </c>
      <c r="N13" s="59"/>
      <c r="P13" s="59"/>
      <c r="R13" s="59"/>
      <c r="T13" s="59"/>
    </row>
    <row r="14" customFormat="false" ht="13.5" hidden="false" customHeight="false" outlineLevel="0" collapsed="false">
      <c r="A14" s="33" t="n">
        <v>15</v>
      </c>
      <c r="B14" s="59" t="n">
        <v>7.9</v>
      </c>
      <c r="C14" s="60" t="n">
        <v>40</v>
      </c>
      <c r="D14" s="59"/>
      <c r="E14" s="60"/>
      <c r="F14" s="62" t="n">
        <v>7.7</v>
      </c>
      <c r="G14" s="60" t="n">
        <v>40</v>
      </c>
      <c r="H14" s="59" t="n">
        <v>10.7</v>
      </c>
      <c r="I14" s="60" t="n">
        <v>17</v>
      </c>
      <c r="J14" s="62" t="n">
        <v>11.36</v>
      </c>
      <c r="K14" s="60" t="n">
        <v>40</v>
      </c>
      <c r="L14" s="59" t="n">
        <v>13.14</v>
      </c>
      <c r="M14" s="60" t="n">
        <v>21</v>
      </c>
      <c r="N14" s="59"/>
      <c r="P14" s="59"/>
      <c r="R14" s="59"/>
      <c r="T14" s="59"/>
    </row>
    <row r="15" customFormat="false" ht="13.5" hidden="false" customHeight="false" outlineLevel="0" collapsed="false">
      <c r="A15" s="33" t="n">
        <v>16</v>
      </c>
      <c r="B15" s="59" t="n">
        <v>9.16</v>
      </c>
      <c r="C15" s="60" t="n">
        <v>40</v>
      </c>
      <c r="D15" s="59"/>
      <c r="E15" s="60"/>
      <c r="F15" s="62" t="n">
        <v>9.027</v>
      </c>
      <c r="G15" s="60" t="n">
        <v>40</v>
      </c>
      <c r="H15" s="59" t="n">
        <v>12.38</v>
      </c>
      <c r="I15" s="60" t="n">
        <v>20</v>
      </c>
      <c r="J15" s="62" t="n">
        <v>12.5</v>
      </c>
      <c r="K15" s="60" t="n">
        <v>40</v>
      </c>
      <c r="L15" s="59"/>
      <c r="M15" s="60"/>
      <c r="N15" s="59"/>
      <c r="P15" s="59"/>
      <c r="R15" s="59"/>
      <c r="T15" s="59"/>
    </row>
    <row r="16" customFormat="false" ht="13.5" hidden="false" customHeight="false" outlineLevel="0" collapsed="false">
      <c r="A16" s="33" t="n">
        <v>17</v>
      </c>
      <c r="B16" s="59" t="n">
        <v>10.74</v>
      </c>
      <c r="C16" s="60" t="n">
        <v>40</v>
      </c>
      <c r="D16" s="59"/>
      <c r="E16" s="60"/>
      <c r="F16" s="62" t="n">
        <v>12.19</v>
      </c>
      <c r="G16" s="60" t="n">
        <v>40</v>
      </c>
      <c r="H16" s="59"/>
      <c r="I16" s="60"/>
      <c r="J16" s="62" t="n">
        <v>14.73</v>
      </c>
      <c r="K16" s="60" t="n">
        <v>40</v>
      </c>
      <c r="L16" s="59"/>
      <c r="M16" s="60"/>
      <c r="N16" s="59"/>
      <c r="P16" s="59"/>
      <c r="R16" s="59"/>
      <c r="T16" s="59"/>
    </row>
    <row r="17" customFormat="false" ht="13.5" hidden="false" customHeight="false" outlineLevel="0" collapsed="false">
      <c r="A17" s="33" t="n">
        <v>18</v>
      </c>
      <c r="B17" s="59" t="n">
        <v>13.68</v>
      </c>
      <c r="C17" s="60" t="n">
        <v>40</v>
      </c>
      <c r="D17" s="59"/>
      <c r="E17" s="60"/>
      <c r="F17" s="62" t="n">
        <v>14.47</v>
      </c>
      <c r="G17" s="60" t="n">
        <v>40</v>
      </c>
      <c r="H17" s="59"/>
      <c r="I17" s="60"/>
      <c r="J17" s="62" t="n">
        <v>17.41</v>
      </c>
      <c r="K17" s="60" t="n">
        <v>40</v>
      </c>
      <c r="L17" s="59"/>
      <c r="M17" s="60"/>
      <c r="N17" s="59"/>
      <c r="P17" s="59"/>
      <c r="R17" s="59"/>
      <c r="T17" s="59"/>
    </row>
    <row r="18" customFormat="false" ht="13.5" hidden="false" customHeight="false" outlineLevel="0" collapsed="false">
      <c r="A18" s="33" t="n">
        <v>19</v>
      </c>
      <c r="B18" s="59" t="n">
        <v>16.69</v>
      </c>
      <c r="C18" s="60" t="n">
        <v>40</v>
      </c>
      <c r="D18" s="59"/>
      <c r="F18" s="62" t="n">
        <v>15.699</v>
      </c>
      <c r="G18" s="60" t="n">
        <v>40</v>
      </c>
      <c r="H18" s="59"/>
      <c r="I18" s="60"/>
      <c r="J18" s="62" t="n">
        <v>19.89</v>
      </c>
      <c r="K18" s="60" t="n">
        <v>40</v>
      </c>
      <c r="L18" s="59"/>
      <c r="M18" s="60"/>
      <c r="N18" s="59"/>
      <c r="P18" s="59"/>
      <c r="R18" s="59"/>
      <c r="T18" s="59"/>
    </row>
    <row r="19" customFormat="false" ht="13.5" hidden="false" customHeight="false" outlineLevel="0" collapsed="false">
      <c r="A19" s="33" t="n">
        <v>20</v>
      </c>
      <c r="B19" s="59" t="n">
        <v>17.28</v>
      </c>
      <c r="C19" s="60" t="n">
        <v>40</v>
      </c>
      <c r="D19" s="59"/>
      <c r="E19" s="60"/>
      <c r="F19" s="62" t="n">
        <v>18.669</v>
      </c>
      <c r="G19" s="60" t="n">
        <v>40</v>
      </c>
      <c r="H19" s="59"/>
      <c r="I19" s="60"/>
      <c r="J19" s="62" t="n">
        <v>19.2</v>
      </c>
      <c r="K19" s="60" t="n">
        <v>40</v>
      </c>
      <c r="L19" s="59"/>
      <c r="M19" s="60"/>
      <c r="N19" s="59"/>
      <c r="P19" s="59"/>
      <c r="R19" s="59"/>
      <c r="T19" s="59"/>
    </row>
    <row r="20" customFormat="false" ht="13.5" hidden="false" customHeight="false" outlineLevel="0" collapsed="false">
      <c r="A20" s="33" t="n">
        <v>21</v>
      </c>
      <c r="B20" s="59" t="n">
        <v>21.4</v>
      </c>
      <c r="C20" s="60" t="n">
        <v>40</v>
      </c>
      <c r="D20" s="59"/>
      <c r="E20" s="60"/>
      <c r="F20" s="62" t="n">
        <v>19.8</v>
      </c>
      <c r="G20" s="60" t="n">
        <v>40</v>
      </c>
      <c r="H20" s="59"/>
      <c r="I20" s="60"/>
      <c r="J20" s="62" t="n">
        <v>24.39</v>
      </c>
      <c r="K20" s="60" t="n">
        <v>40</v>
      </c>
      <c r="L20" s="59"/>
      <c r="M20" s="60"/>
      <c r="N20" s="59"/>
      <c r="P20" s="59"/>
      <c r="R20" s="59"/>
      <c r="T20" s="59"/>
    </row>
    <row r="21" customFormat="false" ht="13.5" hidden="false" customHeight="false" outlineLevel="0" collapsed="false">
      <c r="A21" s="33" t="n">
        <v>22</v>
      </c>
      <c r="B21" s="59" t="n">
        <v>21.26</v>
      </c>
      <c r="C21" s="60" t="n">
        <v>40</v>
      </c>
      <c r="D21" s="59"/>
      <c r="E21" s="60"/>
      <c r="F21" s="62" t="n">
        <v>24.21</v>
      </c>
      <c r="G21" s="60" t="n">
        <v>40</v>
      </c>
      <c r="H21" s="59"/>
      <c r="I21" s="60"/>
      <c r="J21" s="62" t="n">
        <v>27.59</v>
      </c>
      <c r="K21" s="60" t="n">
        <v>40</v>
      </c>
      <c r="L21" s="59"/>
      <c r="M21" s="60"/>
      <c r="N21" s="59"/>
      <c r="P21" s="59"/>
      <c r="R21" s="59"/>
      <c r="T21" s="59"/>
    </row>
    <row r="22" customFormat="false" ht="13.5" hidden="false" customHeight="false" outlineLevel="0" collapsed="false">
      <c r="A22" s="33" t="n">
        <v>23</v>
      </c>
      <c r="B22" s="59" t="n">
        <v>21.94</v>
      </c>
      <c r="C22" s="60" t="n">
        <v>33</v>
      </c>
      <c r="D22" s="59"/>
      <c r="E22" s="60"/>
      <c r="F22" s="62" t="n">
        <v>26.13</v>
      </c>
      <c r="G22" s="60" t="n">
        <v>40</v>
      </c>
      <c r="H22" s="59"/>
      <c r="I22" s="60"/>
      <c r="J22" s="62" t="n">
        <v>31.4</v>
      </c>
      <c r="K22" s="60" t="n">
        <v>20</v>
      </c>
      <c r="L22" s="59"/>
      <c r="M22" s="60"/>
      <c r="N22" s="59"/>
      <c r="P22" s="59"/>
      <c r="R22" s="59"/>
      <c r="T22" s="59"/>
    </row>
    <row r="23" customFormat="false" ht="13.5" hidden="false" customHeight="false" outlineLevel="0" collapsed="false">
      <c r="A23" s="33" t="n">
        <v>24</v>
      </c>
      <c r="B23" s="59" t="n">
        <v>26.39</v>
      </c>
      <c r="C23" s="60" t="n">
        <v>11</v>
      </c>
      <c r="D23" s="59"/>
      <c r="E23" s="60"/>
      <c r="F23" s="62" t="n">
        <v>28.26</v>
      </c>
      <c r="G23" s="60" t="n">
        <v>23</v>
      </c>
      <c r="H23" s="59"/>
      <c r="I23" s="60"/>
      <c r="J23" s="59"/>
      <c r="K23" s="60"/>
      <c r="L23" s="59"/>
      <c r="M23" s="60"/>
      <c r="N23" s="59"/>
      <c r="P23" s="59"/>
      <c r="R23" s="59"/>
      <c r="T23" s="59"/>
    </row>
    <row r="24" customFormat="false" ht="13.5" hidden="false" customHeight="false" outlineLevel="0" collapsed="false">
      <c r="A24" s="33" t="n">
        <v>25</v>
      </c>
      <c r="B24" s="59"/>
      <c r="C24" s="60"/>
      <c r="D24" s="59"/>
      <c r="E24" s="60"/>
      <c r="F24" s="62" t="n">
        <v>36.36</v>
      </c>
      <c r="G24" s="60" t="n">
        <v>17</v>
      </c>
      <c r="H24" s="59"/>
      <c r="I24" s="60"/>
      <c r="J24" s="59"/>
      <c r="K24" s="60"/>
      <c r="L24" s="59"/>
      <c r="M24" s="60"/>
      <c r="N24" s="59"/>
      <c r="P24" s="59"/>
      <c r="R24" s="59"/>
      <c r="T24" s="59"/>
    </row>
    <row r="25" customFormat="false" ht="13.5" hidden="false" customHeight="false" outlineLevel="0" collapsed="false">
      <c r="A25" s="33" t="n">
        <v>26</v>
      </c>
      <c r="B25" s="59"/>
      <c r="C25" s="60"/>
      <c r="D25" s="59"/>
      <c r="E25" s="60"/>
      <c r="F25" s="62" t="n">
        <v>42.699</v>
      </c>
      <c r="G25" s="60" t="n">
        <v>13</v>
      </c>
      <c r="H25" s="59"/>
      <c r="I25" s="60"/>
      <c r="J25" s="59"/>
      <c r="K25" s="60"/>
      <c r="L25" s="59"/>
      <c r="M25" s="60"/>
      <c r="N25" s="59"/>
      <c r="P25" s="59"/>
      <c r="R25" s="59"/>
      <c r="T25" s="59"/>
    </row>
    <row r="26" customFormat="false" ht="13.5" hidden="false" customHeight="false" outlineLevel="0" collapsed="false">
      <c r="A26" s="33" t="n">
        <v>27</v>
      </c>
      <c r="B26" s="59"/>
      <c r="C26" s="60"/>
      <c r="D26" s="59"/>
      <c r="E26" s="60"/>
      <c r="F26" s="62"/>
      <c r="G26" s="60"/>
      <c r="H26" s="59"/>
      <c r="I26" s="60"/>
      <c r="J26" s="59"/>
      <c r="K26" s="60"/>
      <c r="L26" s="59"/>
      <c r="M26" s="60"/>
      <c r="N26" s="59"/>
      <c r="P26" s="59"/>
      <c r="R26" s="59"/>
      <c r="T26" s="59"/>
    </row>
    <row r="27" customFormat="false" ht="13.5" hidden="false" customHeight="false" outlineLevel="0" collapsed="false">
      <c r="A27" s="33" t="n">
        <v>28</v>
      </c>
      <c r="B27" s="59"/>
      <c r="C27" s="60"/>
      <c r="D27" s="59"/>
      <c r="E27" s="60"/>
      <c r="F27" s="62"/>
      <c r="G27" s="60"/>
      <c r="H27" s="59"/>
      <c r="I27" s="60"/>
      <c r="J27" s="62"/>
      <c r="K27" s="60"/>
      <c r="L27" s="59"/>
      <c r="M27" s="60"/>
      <c r="N27" s="59"/>
      <c r="P27" s="59"/>
      <c r="R27" s="59"/>
      <c r="T27" s="59"/>
    </row>
    <row r="28" customFormat="false" ht="13.5" hidden="false" customHeight="false" outlineLevel="0" collapsed="false">
      <c r="A28" s="33" t="n">
        <v>29</v>
      </c>
      <c r="B28" s="59"/>
      <c r="C28" s="60"/>
      <c r="D28" s="59"/>
      <c r="E28" s="60"/>
      <c r="F28" s="62"/>
      <c r="G28" s="60"/>
      <c r="H28" s="59"/>
      <c r="I28" s="60"/>
      <c r="J28" s="62"/>
      <c r="K28" s="60"/>
      <c r="L28" s="59"/>
      <c r="M28" s="60"/>
      <c r="N28" s="59"/>
      <c r="P28" s="59"/>
      <c r="R28" s="59"/>
      <c r="T28" s="59"/>
    </row>
    <row r="29" customFormat="false" ht="13.5" hidden="false" customHeight="false" outlineLevel="0" collapsed="false">
      <c r="A29" s="33" t="n">
        <v>30</v>
      </c>
      <c r="B29" s="59"/>
      <c r="C29" s="60"/>
      <c r="D29" s="59"/>
      <c r="E29" s="60"/>
      <c r="F29" s="62"/>
      <c r="G29" s="60"/>
      <c r="H29" s="59"/>
      <c r="I29" s="60"/>
      <c r="J29" s="59"/>
      <c r="K29" s="60"/>
      <c r="L29" s="59"/>
      <c r="M29" s="60"/>
      <c r="N29" s="59"/>
      <c r="P29" s="59"/>
      <c r="R29" s="59"/>
      <c r="T29" s="59"/>
    </row>
    <row r="30" customFormat="false" ht="13.5" hidden="false" customHeight="false" outlineLevel="0" collapsed="false">
      <c r="A30" s="33" t="n">
        <v>31</v>
      </c>
      <c r="B30" s="59"/>
      <c r="C30" s="60"/>
      <c r="D30" s="59"/>
      <c r="E30" s="60"/>
      <c r="F30" s="59"/>
      <c r="G30" s="60"/>
      <c r="H30" s="59"/>
      <c r="I30" s="60"/>
      <c r="J30" s="59"/>
      <c r="K30" s="60"/>
      <c r="L30" s="59"/>
      <c r="M30" s="60"/>
      <c r="N30" s="59"/>
      <c r="P30" s="59"/>
      <c r="R30" s="59"/>
      <c r="T30" s="59"/>
    </row>
    <row r="31" customFormat="false" ht="13.5" hidden="false" customHeight="false" outlineLevel="0" collapsed="false">
      <c r="A31" s="33" t="n">
        <v>32</v>
      </c>
      <c r="B31" s="59"/>
      <c r="C31" s="60"/>
      <c r="D31" s="59"/>
      <c r="E31" s="60"/>
      <c r="G31" s="60"/>
      <c r="H31" s="59"/>
      <c r="I31" s="60"/>
      <c r="J31" s="59"/>
      <c r="K31" s="60"/>
      <c r="L31" s="59"/>
      <c r="M31" s="60"/>
      <c r="N31" s="59"/>
      <c r="P31" s="59"/>
      <c r="R31" s="59"/>
      <c r="T31" s="59"/>
    </row>
    <row r="32" customFormat="false" ht="13.5" hidden="false" customHeight="false" outlineLevel="0" collapsed="false">
      <c r="A32" s="33" t="n">
        <v>33</v>
      </c>
      <c r="B32" s="59"/>
      <c r="C32" s="60"/>
      <c r="D32" s="59"/>
      <c r="E32" s="60"/>
      <c r="G32" s="60"/>
      <c r="H32" s="59"/>
      <c r="I32" s="60"/>
      <c r="J32" s="59"/>
      <c r="K32" s="60"/>
      <c r="L32" s="59"/>
      <c r="M32" s="60"/>
      <c r="N32" s="59"/>
      <c r="P32" s="59"/>
      <c r="R32" s="59"/>
      <c r="T32" s="59"/>
    </row>
    <row r="33" customFormat="false" ht="13.5" hidden="false" customHeight="false" outlineLevel="0" collapsed="false">
      <c r="A33" s="33" t="n">
        <v>34</v>
      </c>
      <c r="B33" s="59"/>
      <c r="C33" s="60"/>
      <c r="D33" s="59"/>
      <c r="E33" s="60"/>
      <c r="F33" s="49"/>
      <c r="G33" s="60"/>
      <c r="H33" s="59"/>
      <c r="I33" s="60"/>
      <c r="J33" s="59"/>
      <c r="K33" s="60"/>
      <c r="L33" s="59"/>
      <c r="M33" s="60"/>
      <c r="N33" s="59"/>
      <c r="P33" s="59"/>
      <c r="R33" s="59"/>
      <c r="T33" s="59"/>
    </row>
    <row r="34" customFormat="false" ht="13.5" hidden="false" customHeight="false" outlineLevel="0" collapsed="false">
      <c r="A34" s="33" t="n">
        <v>35</v>
      </c>
      <c r="B34" s="59"/>
      <c r="C34" s="60"/>
      <c r="D34" s="59"/>
      <c r="E34" s="60"/>
      <c r="F34" s="49"/>
      <c r="G34" s="60"/>
      <c r="H34" s="59"/>
      <c r="I34" s="60"/>
      <c r="J34" s="59"/>
      <c r="K34" s="60"/>
      <c r="L34" s="59"/>
      <c r="M34" s="60"/>
      <c r="N34" s="59"/>
      <c r="P34" s="59"/>
      <c r="R34" s="59"/>
      <c r="T34" s="59"/>
    </row>
    <row r="35" customFormat="false" ht="13.5" hidden="false" customHeight="false" outlineLevel="0" collapsed="false">
      <c r="A35" s="64" t="n">
        <v>36</v>
      </c>
      <c r="B35" s="65"/>
      <c r="C35" s="66"/>
      <c r="D35" s="65"/>
      <c r="E35" s="66"/>
      <c r="F35" s="67"/>
      <c r="G35" s="66"/>
      <c r="H35" s="65"/>
      <c r="I35" s="66"/>
      <c r="J35" s="65"/>
      <c r="K35" s="66"/>
      <c r="L35" s="65"/>
      <c r="M35" s="66"/>
      <c r="N35" s="59"/>
      <c r="P35" s="59"/>
      <c r="R35" s="59"/>
      <c r="T35" s="59"/>
    </row>
  </sheetData>
  <mergeCells count="16">
    <mergeCell ref="A3:A5"/>
    <mergeCell ref="B3:E3"/>
    <mergeCell ref="F3:I3"/>
    <mergeCell ref="J3:M3"/>
    <mergeCell ref="N3:Q3"/>
    <mergeCell ref="R3: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4"/>
  <sheetViews>
    <sheetView showFormulas="false" showGridLines="true" showRowColHeaders="true" showZeros="true" rightToLeft="false" tabSelected="true" showOutlineSymbols="true" defaultGridColor="true" view="normal" topLeftCell="A100" colorId="64" zoomScale="95" zoomScaleNormal="95" zoomScalePageLayoutView="100" workbookViewId="0">
      <selection pane="topLeft" activeCell="C21" activeCellId="0" sqref="C21"/>
    </sheetView>
  </sheetViews>
  <sheetFormatPr defaultColWidth="8.74609375" defaultRowHeight="13.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3" style="0" width="26.11"/>
    <col collapsed="false" customWidth="true" hidden="false" outlineLevel="0" max="4" min="4" style="0" width="28.66"/>
  </cols>
  <sheetData>
    <row r="1" customFormat="false" ht="13.5" hidden="false" customHeight="false" outlineLevel="0" collapsed="false">
      <c r="A1" s="0" t="s">
        <v>156</v>
      </c>
    </row>
    <row r="3" customFormat="false" ht="13.5" hidden="false" customHeight="false" outlineLevel="0" collapsed="false">
      <c r="C3" s="68" t="s">
        <v>157</v>
      </c>
      <c r="D3" s="68"/>
    </row>
    <row r="4" customFormat="false" ht="13.5" hidden="false" customHeight="false" outlineLevel="0" collapsed="false">
      <c r="A4" s="69" t="s">
        <v>78</v>
      </c>
      <c r="B4" s="70" t="s">
        <v>79</v>
      </c>
      <c r="C4" s="71" t="s">
        <v>158</v>
      </c>
      <c r="D4" s="72" t="s">
        <v>159</v>
      </c>
    </row>
    <row r="5" customFormat="false" ht="13.5" hidden="false" customHeight="false" outlineLevel="0" collapsed="false">
      <c r="A5" s="73" t="s">
        <v>139</v>
      </c>
      <c r="B5" s="74" t="n">
        <v>1</v>
      </c>
      <c r="C5" s="19" t="n">
        <v>260.5</v>
      </c>
      <c r="D5" s="19" t="n">
        <v>438.6</v>
      </c>
    </row>
    <row r="6" customFormat="false" ht="13.5" hidden="false" customHeight="false" outlineLevel="0" collapsed="false">
      <c r="A6" s="75" t="s">
        <v>139</v>
      </c>
      <c r="B6" s="76" t="n">
        <v>2</v>
      </c>
      <c r="C6" s="19" t="n">
        <v>0</v>
      </c>
      <c r="D6" s="19" t="n">
        <v>0</v>
      </c>
    </row>
    <row r="7" customFormat="false" ht="13.5" hidden="false" customHeight="false" outlineLevel="0" collapsed="false">
      <c r="A7" s="75" t="s">
        <v>139</v>
      </c>
      <c r="B7" s="76" t="n">
        <v>3</v>
      </c>
      <c r="C7" s="19" t="n">
        <v>0</v>
      </c>
      <c r="D7" s="19" t="n">
        <v>0</v>
      </c>
    </row>
    <row r="8" customFormat="false" ht="13.5" hidden="false" customHeight="false" outlineLevel="0" collapsed="false">
      <c r="A8" s="75" t="s">
        <v>139</v>
      </c>
      <c r="B8" s="76" t="n">
        <v>4</v>
      </c>
      <c r="C8" s="19" t="n">
        <v>0</v>
      </c>
      <c r="D8" s="19" t="n">
        <v>0</v>
      </c>
    </row>
    <row r="9" customFormat="false" ht="13.5" hidden="false" customHeight="false" outlineLevel="0" collapsed="false">
      <c r="A9" s="75" t="s">
        <v>139</v>
      </c>
      <c r="B9" s="76" t="n">
        <v>5</v>
      </c>
      <c r="C9" s="19" t="n">
        <v>6513.2</v>
      </c>
      <c r="D9" s="19" t="n">
        <v>2361.9</v>
      </c>
    </row>
    <row r="10" customFormat="false" ht="13.5" hidden="false" customHeight="false" outlineLevel="0" collapsed="false">
      <c r="A10" s="75" t="s">
        <v>139</v>
      </c>
      <c r="B10" s="76" t="n">
        <v>6</v>
      </c>
      <c r="C10" s="19" t="n">
        <v>0</v>
      </c>
      <c r="D10" s="19" t="n">
        <v>0</v>
      </c>
    </row>
    <row r="11" customFormat="false" ht="13.5" hidden="false" customHeight="false" outlineLevel="0" collapsed="false">
      <c r="A11" s="75" t="s">
        <v>139</v>
      </c>
      <c r="B11" s="76" t="n">
        <v>7</v>
      </c>
      <c r="C11" s="19" t="n">
        <v>434.2</v>
      </c>
      <c r="D11" s="19" t="n">
        <v>101.2</v>
      </c>
    </row>
    <row r="12" customFormat="false" ht="13.5" hidden="false" customHeight="false" outlineLevel="0" collapsed="false">
      <c r="A12" s="75" t="s">
        <v>139</v>
      </c>
      <c r="B12" s="76" t="n">
        <v>8</v>
      </c>
      <c r="C12" s="19" t="n">
        <v>0</v>
      </c>
      <c r="D12" s="19" t="n">
        <v>0</v>
      </c>
    </row>
    <row r="13" customFormat="false" ht="13.5" hidden="false" customHeight="false" outlineLevel="0" collapsed="false">
      <c r="A13" s="75" t="s">
        <v>139</v>
      </c>
      <c r="B13" s="76" t="n">
        <v>9</v>
      </c>
      <c r="C13" s="19" t="n">
        <v>86.8</v>
      </c>
      <c r="D13" s="19" t="n">
        <v>674.8</v>
      </c>
    </row>
    <row r="14" customFormat="false" ht="13.5" hidden="false" customHeight="false" outlineLevel="0" collapsed="false">
      <c r="A14" s="75" t="s">
        <v>139</v>
      </c>
      <c r="B14" s="76" t="n">
        <v>10</v>
      </c>
      <c r="C14" s="19" t="n">
        <v>0</v>
      </c>
      <c r="D14" s="19" t="n">
        <v>0</v>
      </c>
    </row>
    <row r="15" customFormat="false" ht="13.5" hidden="false" customHeight="false" outlineLevel="0" collapsed="false">
      <c r="A15" s="75" t="s">
        <v>139</v>
      </c>
      <c r="B15" s="76" t="n">
        <v>11</v>
      </c>
      <c r="C15" s="19" t="n">
        <v>0</v>
      </c>
      <c r="D15" s="19" t="n">
        <v>16.9</v>
      </c>
    </row>
    <row r="16" customFormat="false" ht="13.5" hidden="false" customHeight="false" outlineLevel="0" collapsed="false">
      <c r="A16" s="75" t="s">
        <v>139</v>
      </c>
      <c r="B16" s="76" t="n">
        <v>12</v>
      </c>
      <c r="C16" s="19" t="n">
        <v>21.7</v>
      </c>
      <c r="D16" s="19" t="n">
        <v>67.5</v>
      </c>
    </row>
    <row r="17" customFormat="false" ht="13.5" hidden="false" customHeight="false" outlineLevel="0" collapsed="false">
      <c r="A17" s="75" t="s">
        <v>139</v>
      </c>
      <c r="B17" s="76" t="n">
        <v>13</v>
      </c>
      <c r="C17" s="19" t="n">
        <v>0</v>
      </c>
      <c r="D17" s="19" t="n">
        <v>0</v>
      </c>
    </row>
    <row r="18" customFormat="false" ht="13.5" hidden="false" customHeight="false" outlineLevel="0" collapsed="false">
      <c r="A18" s="75" t="s">
        <v>139</v>
      </c>
      <c r="B18" s="76" t="n">
        <v>14</v>
      </c>
      <c r="C18" s="19" t="n">
        <v>0</v>
      </c>
      <c r="D18" s="19" t="n">
        <v>0</v>
      </c>
    </row>
    <row r="19" customFormat="false" ht="13.5" hidden="false" customHeight="false" outlineLevel="0" collapsed="false">
      <c r="A19" s="75" t="s">
        <v>139</v>
      </c>
      <c r="B19" s="76" t="n">
        <v>15</v>
      </c>
      <c r="C19" s="19" t="n">
        <v>0</v>
      </c>
      <c r="D19" s="19" t="n">
        <v>0</v>
      </c>
    </row>
    <row r="20" customFormat="false" ht="13.5" hidden="false" customHeight="false" outlineLevel="0" collapsed="false">
      <c r="A20" s="75" t="s">
        <v>139</v>
      </c>
      <c r="B20" s="76" t="n">
        <v>16</v>
      </c>
      <c r="C20" s="19" t="n">
        <v>217.1</v>
      </c>
      <c r="D20" s="19" t="n">
        <v>776.1</v>
      </c>
    </row>
    <row r="21" customFormat="false" ht="13.5" hidden="false" customHeight="false" outlineLevel="0" collapsed="false">
      <c r="A21" s="75" t="s">
        <v>139</v>
      </c>
      <c r="B21" s="76" t="n">
        <v>17</v>
      </c>
      <c r="C21" s="19" t="n">
        <v>6513.2</v>
      </c>
      <c r="D21" s="19" t="n">
        <v>3036.8</v>
      </c>
    </row>
    <row r="22" customFormat="false" ht="13.5" hidden="false" customHeight="false" outlineLevel="0" collapsed="false">
      <c r="A22" s="75" t="s">
        <v>139</v>
      </c>
      <c r="B22" s="76" t="n">
        <v>18</v>
      </c>
      <c r="C22" s="19" t="n">
        <v>347.4</v>
      </c>
      <c r="D22" s="19" t="n">
        <v>1181</v>
      </c>
    </row>
    <row r="23" customFormat="false" ht="13.5" hidden="false" customHeight="false" outlineLevel="0" collapsed="false">
      <c r="A23" s="75" t="s">
        <v>139</v>
      </c>
      <c r="B23" s="76" t="n">
        <v>19</v>
      </c>
      <c r="C23" s="19" t="n">
        <v>651.3</v>
      </c>
      <c r="D23" s="19" t="n">
        <v>67.5</v>
      </c>
    </row>
    <row r="24" customFormat="false" ht="13.5" hidden="false" customHeight="false" outlineLevel="0" collapsed="false">
      <c r="A24" s="75" t="s">
        <v>139</v>
      </c>
      <c r="B24" s="76" t="n">
        <v>20</v>
      </c>
      <c r="C24" s="19" t="n">
        <v>0</v>
      </c>
      <c r="D24" s="19" t="n">
        <v>0</v>
      </c>
    </row>
    <row r="25" customFormat="false" ht="13.5" hidden="false" customHeight="false" outlineLevel="0" collapsed="false">
      <c r="A25" s="75" t="s">
        <v>139</v>
      </c>
      <c r="B25" s="76" t="n">
        <v>21</v>
      </c>
      <c r="C25" s="19" t="n">
        <v>2062.5</v>
      </c>
      <c r="D25" s="19" t="n">
        <v>539.9</v>
      </c>
    </row>
    <row r="26" customFormat="false" ht="13.5" hidden="false" customHeight="false" outlineLevel="0" collapsed="false">
      <c r="A26" s="75" t="s">
        <v>139</v>
      </c>
      <c r="B26" s="76" t="n">
        <v>22</v>
      </c>
      <c r="C26" s="19" t="n">
        <v>21493.5</v>
      </c>
      <c r="D26" s="19" t="n">
        <v>1181</v>
      </c>
    </row>
    <row r="27" customFormat="false" ht="13.5" hidden="false" customHeight="false" outlineLevel="0" collapsed="false">
      <c r="A27" s="75" t="s">
        <v>139</v>
      </c>
      <c r="B27" s="76" t="n">
        <v>23</v>
      </c>
      <c r="C27" s="19" t="n">
        <v>65.1</v>
      </c>
      <c r="D27" s="19" t="n">
        <v>674.8</v>
      </c>
    </row>
    <row r="28" customFormat="false" ht="13.5" hidden="false" customHeight="false" outlineLevel="0" collapsed="false">
      <c r="A28" s="75" t="s">
        <v>139</v>
      </c>
      <c r="B28" s="76" t="n">
        <v>24</v>
      </c>
      <c r="C28" s="19" t="n">
        <v>10.9</v>
      </c>
      <c r="D28" s="19" t="n">
        <v>33.7</v>
      </c>
    </row>
    <row r="29" customFormat="false" ht="13.5" hidden="false" customHeight="false" outlineLevel="0" collapsed="false">
      <c r="A29" s="75" t="s">
        <v>139</v>
      </c>
      <c r="B29" s="76" t="n">
        <v>25</v>
      </c>
      <c r="C29" s="19" t="n">
        <v>0</v>
      </c>
      <c r="D29" s="19" t="n">
        <v>101.2</v>
      </c>
    </row>
    <row r="30" customFormat="false" ht="13.5" hidden="false" customHeight="false" outlineLevel="0" collapsed="false">
      <c r="A30" s="75" t="s">
        <v>139</v>
      </c>
      <c r="B30" s="76" t="n">
        <v>26</v>
      </c>
      <c r="C30" s="19" t="n">
        <v>868.4</v>
      </c>
      <c r="D30" s="19" t="n">
        <v>877.3</v>
      </c>
    </row>
    <row r="31" customFormat="false" ht="13.5" hidden="false" customHeight="false" outlineLevel="0" collapsed="false">
      <c r="A31" s="75" t="s">
        <v>139</v>
      </c>
      <c r="B31" s="76" t="n">
        <v>27</v>
      </c>
      <c r="C31" s="19" t="n">
        <v>238.8</v>
      </c>
      <c r="D31" s="19" t="n">
        <v>337.4</v>
      </c>
    </row>
    <row r="32" customFormat="false" ht="13.5" hidden="false" customHeight="false" outlineLevel="0" collapsed="false">
      <c r="A32" s="75" t="s">
        <v>139</v>
      </c>
      <c r="B32" s="76" t="n">
        <v>28</v>
      </c>
      <c r="C32" s="19" t="n">
        <v>0</v>
      </c>
      <c r="D32" s="19" t="n">
        <v>0</v>
      </c>
    </row>
    <row r="33" customFormat="false" ht="13.5" hidden="false" customHeight="false" outlineLevel="0" collapsed="false">
      <c r="A33" s="75" t="s">
        <v>139</v>
      </c>
      <c r="B33" s="76" t="n">
        <v>29</v>
      </c>
      <c r="C33" s="19" t="n">
        <v>173.7</v>
      </c>
      <c r="D33" s="19" t="n">
        <v>472.4</v>
      </c>
    </row>
    <row r="34" customFormat="false" ht="13.5" hidden="false" customHeight="false" outlineLevel="0" collapsed="false">
      <c r="A34" s="75" t="s">
        <v>139</v>
      </c>
      <c r="B34" s="76" t="n">
        <v>30</v>
      </c>
      <c r="C34" s="19" t="n">
        <v>0</v>
      </c>
      <c r="D34" s="19" t="n">
        <v>0</v>
      </c>
    </row>
    <row r="35" customFormat="false" ht="13.5" hidden="false" customHeight="false" outlineLevel="0" collapsed="false">
      <c r="A35" s="75" t="s">
        <v>139</v>
      </c>
      <c r="B35" s="76" t="n">
        <v>31</v>
      </c>
      <c r="C35" s="19" t="n">
        <v>0</v>
      </c>
      <c r="D35" s="19" t="n">
        <v>0</v>
      </c>
    </row>
    <row r="36" customFormat="false" ht="13.5" hidden="false" customHeight="false" outlineLevel="0" collapsed="false">
      <c r="A36" s="75" t="s">
        <v>139</v>
      </c>
      <c r="B36" s="76" t="n">
        <v>32</v>
      </c>
      <c r="C36" s="19" t="n">
        <v>0</v>
      </c>
      <c r="D36" s="19" t="n">
        <v>0</v>
      </c>
    </row>
    <row r="37" customFormat="false" ht="13.5" hidden="false" customHeight="false" outlineLevel="0" collapsed="false">
      <c r="A37" s="75" t="s">
        <v>139</v>
      </c>
      <c r="B37" s="76" t="n">
        <v>33</v>
      </c>
      <c r="C37" s="19" t="n">
        <v>434.2</v>
      </c>
      <c r="D37" s="19" t="n">
        <v>674.8</v>
      </c>
    </row>
    <row r="38" customFormat="false" ht="13.5" hidden="false" customHeight="false" outlineLevel="0" collapsed="false">
      <c r="A38" s="75" t="s">
        <v>139</v>
      </c>
      <c r="B38" s="76" t="n">
        <v>34</v>
      </c>
      <c r="C38" s="19" t="n">
        <v>25184.3</v>
      </c>
      <c r="D38" s="19" t="n">
        <v>404.9</v>
      </c>
    </row>
    <row r="39" customFormat="false" ht="13.5" hidden="false" customHeight="false" outlineLevel="0" collapsed="false">
      <c r="A39" s="75" t="s">
        <v>139</v>
      </c>
      <c r="B39" s="76" t="n">
        <v>35</v>
      </c>
      <c r="C39" s="19" t="n">
        <v>59052.8</v>
      </c>
      <c r="D39" s="19" t="n">
        <v>2868</v>
      </c>
    </row>
    <row r="40" customFormat="false" ht="13.5" hidden="false" customHeight="false" outlineLevel="0" collapsed="false">
      <c r="A40" s="75" t="s">
        <v>139</v>
      </c>
      <c r="B40" s="76" t="n">
        <v>36</v>
      </c>
      <c r="C40" s="19" t="n">
        <v>0</v>
      </c>
      <c r="D40" s="19" t="n">
        <v>101.2</v>
      </c>
    </row>
    <row r="41" customFormat="false" ht="13.5" hidden="false" customHeight="false" outlineLevel="0" collapsed="false">
      <c r="A41" s="75" t="s">
        <v>139</v>
      </c>
      <c r="B41" s="76" t="n">
        <v>37</v>
      </c>
      <c r="C41" s="19" t="n">
        <v>0</v>
      </c>
      <c r="D41" s="19" t="n">
        <v>0</v>
      </c>
    </row>
    <row r="42" customFormat="false" ht="13.5" hidden="false" customHeight="false" outlineLevel="0" collapsed="false">
      <c r="A42" s="75" t="s">
        <v>139</v>
      </c>
      <c r="B42" s="76" t="n">
        <v>38</v>
      </c>
      <c r="C42" s="19" t="n">
        <v>10.9</v>
      </c>
      <c r="D42" s="19" t="n">
        <v>776.1</v>
      </c>
    </row>
    <row r="43" customFormat="false" ht="13.5" hidden="false" customHeight="false" outlineLevel="0" collapsed="false">
      <c r="A43" s="75" t="s">
        <v>139</v>
      </c>
      <c r="B43" s="76" t="n">
        <v>39</v>
      </c>
      <c r="C43" s="19" t="n">
        <v>39079</v>
      </c>
      <c r="D43" s="19" t="n">
        <v>1349.7</v>
      </c>
    </row>
    <row r="44" customFormat="false" ht="13.5" hidden="false" customHeight="false" outlineLevel="0" collapsed="false">
      <c r="A44" s="75" t="s">
        <v>139</v>
      </c>
      <c r="B44" s="76" t="n">
        <v>40</v>
      </c>
      <c r="C44" s="19" t="n">
        <v>238.8</v>
      </c>
      <c r="D44" s="19" t="n">
        <v>202.5</v>
      </c>
    </row>
    <row r="45" customFormat="false" ht="13.5" hidden="false" customHeight="false" outlineLevel="0" collapsed="false">
      <c r="A45" s="75" t="s">
        <v>139</v>
      </c>
      <c r="B45" s="76" t="n">
        <v>41</v>
      </c>
      <c r="C45" s="19" t="n">
        <v>0</v>
      </c>
      <c r="D45" s="19" t="n">
        <v>539.9</v>
      </c>
    </row>
    <row r="46" customFormat="false" ht="13.5" hidden="false" customHeight="false" outlineLevel="0" collapsed="false">
      <c r="A46" s="75" t="s">
        <v>139</v>
      </c>
      <c r="B46" s="76" t="n">
        <v>42</v>
      </c>
      <c r="C46" s="19" t="n">
        <v>651.3</v>
      </c>
      <c r="D46" s="19" t="n">
        <v>269.9</v>
      </c>
    </row>
    <row r="47" customFormat="false" ht="13.5" hidden="false" customHeight="false" outlineLevel="0" collapsed="false">
      <c r="A47" s="75" t="s">
        <v>139</v>
      </c>
      <c r="B47" s="76" t="n">
        <v>43</v>
      </c>
      <c r="C47" s="19" t="n">
        <v>260.5</v>
      </c>
      <c r="D47" s="19" t="n">
        <v>1349.7</v>
      </c>
    </row>
    <row r="48" customFormat="false" ht="13.5" hidden="false" customHeight="false" outlineLevel="0" collapsed="false">
      <c r="A48" s="75" t="s">
        <v>139</v>
      </c>
      <c r="B48" s="76" t="n">
        <v>44</v>
      </c>
      <c r="C48" s="19" t="n">
        <v>0</v>
      </c>
      <c r="D48" s="19" t="n">
        <v>202.5</v>
      </c>
    </row>
    <row r="49" customFormat="false" ht="13.5" hidden="false" customHeight="false" outlineLevel="0" collapsed="false">
      <c r="A49" s="75" t="s">
        <v>139</v>
      </c>
      <c r="B49" s="76" t="n">
        <v>45</v>
      </c>
      <c r="C49" s="19" t="n">
        <v>0</v>
      </c>
      <c r="D49" s="19" t="n">
        <v>0</v>
      </c>
    </row>
    <row r="50" customFormat="false" ht="13.5" hidden="false" customHeight="false" outlineLevel="0" collapsed="false">
      <c r="A50" s="75" t="s">
        <v>139</v>
      </c>
      <c r="B50" s="76" t="n">
        <v>46</v>
      </c>
      <c r="C50" s="19" t="n">
        <v>10.9</v>
      </c>
      <c r="D50" s="19" t="n">
        <v>0</v>
      </c>
    </row>
    <row r="51" customFormat="false" ht="13.5" hidden="false" customHeight="false" outlineLevel="0" collapsed="false">
      <c r="A51" s="75" t="s">
        <v>139</v>
      </c>
      <c r="B51" s="76" t="n">
        <v>47</v>
      </c>
      <c r="C51" s="19" t="n">
        <v>5427.6</v>
      </c>
      <c r="D51" s="19" t="n">
        <v>2699.3</v>
      </c>
    </row>
    <row r="52" customFormat="false" ht="13.5" hidden="false" customHeight="false" outlineLevel="0" collapsed="false">
      <c r="A52" s="75" t="s">
        <v>139</v>
      </c>
      <c r="B52" s="76" t="n">
        <v>48</v>
      </c>
      <c r="C52" s="19" t="n">
        <v>1194.1</v>
      </c>
      <c r="D52" s="19" t="n">
        <v>523</v>
      </c>
    </row>
    <row r="53" customFormat="false" ht="13.5" hidden="false" customHeight="false" outlineLevel="0" collapsed="false">
      <c r="A53" s="75" t="s">
        <v>139</v>
      </c>
      <c r="B53" s="76" t="n">
        <v>49</v>
      </c>
      <c r="C53" s="19" t="n">
        <v>0</v>
      </c>
      <c r="D53" s="19" t="n">
        <v>0</v>
      </c>
    </row>
    <row r="54" customFormat="false" ht="13.5" hidden="false" customHeight="false" outlineLevel="0" collapsed="false">
      <c r="A54" s="75" t="s">
        <v>139</v>
      </c>
      <c r="B54" s="76" t="n">
        <v>50</v>
      </c>
      <c r="C54" s="19" t="n">
        <v>0</v>
      </c>
      <c r="D54" s="19" t="n">
        <v>0</v>
      </c>
    </row>
    <row r="55" customFormat="false" ht="13.5" hidden="false" customHeight="false" outlineLevel="0" collapsed="false">
      <c r="A55" s="75" t="s">
        <v>139</v>
      </c>
      <c r="B55" s="76" t="n">
        <v>51</v>
      </c>
      <c r="C55" s="19" t="n">
        <v>1302.6</v>
      </c>
      <c r="D55" s="19" t="n">
        <v>6073.5</v>
      </c>
    </row>
    <row r="56" customFormat="false" ht="13.5" hidden="false" customHeight="false" outlineLevel="0" collapsed="false">
      <c r="A56" s="75" t="s">
        <v>139</v>
      </c>
      <c r="B56" s="76" t="n">
        <v>52</v>
      </c>
      <c r="C56" s="19" t="n">
        <v>130.3</v>
      </c>
      <c r="D56" s="19" t="n">
        <v>168.7</v>
      </c>
    </row>
    <row r="57" customFormat="false" ht="13.5" hidden="false" customHeight="false" outlineLevel="0" collapsed="false">
      <c r="A57" s="75" t="s">
        <v>140</v>
      </c>
      <c r="B57" s="76" t="n">
        <v>53</v>
      </c>
      <c r="C57" s="19" t="n">
        <v>49587.3</v>
      </c>
      <c r="D57" s="19" t="n">
        <v>3912.2</v>
      </c>
    </row>
    <row r="58" customFormat="false" ht="13.5" hidden="false" customHeight="false" outlineLevel="0" collapsed="false">
      <c r="A58" s="75" t="s">
        <v>140</v>
      </c>
      <c r="B58" s="76" t="n">
        <v>54</v>
      </c>
      <c r="C58" s="19" t="n">
        <v>14829.9</v>
      </c>
      <c r="D58" s="19" t="n">
        <v>711.3</v>
      </c>
    </row>
    <row r="59" customFormat="false" ht="13.5" hidden="false" customHeight="false" outlineLevel="0" collapsed="false">
      <c r="A59" s="75" t="s">
        <v>140</v>
      </c>
      <c r="B59" s="76" t="n">
        <v>55</v>
      </c>
      <c r="C59" s="19" t="n">
        <v>0</v>
      </c>
      <c r="D59" s="19" t="n">
        <v>0</v>
      </c>
    </row>
    <row r="60" customFormat="false" ht="13.5" hidden="false" customHeight="false" outlineLevel="0" collapsed="false">
      <c r="A60" s="75" t="s">
        <v>140</v>
      </c>
      <c r="B60" s="76" t="n">
        <v>56</v>
      </c>
      <c r="C60" s="19" t="n">
        <v>92.7</v>
      </c>
      <c r="D60" s="19" t="n">
        <v>35.6</v>
      </c>
    </row>
    <row r="61" customFormat="false" ht="13.5" hidden="false" customHeight="false" outlineLevel="0" collapsed="false">
      <c r="A61" s="75" t="s">
        <v>140</v>
      </c>
      <c r="B61" s="76" t="n">
        <v>57</v>
      </c>
      <c r="C61" s="19" t="n">
        <v>0</v>
      </c>
      <c r="D61" s="19" t="n">
        <v>284.5</v>
      </c>
    </row>
    <row r="62" customFormat="false" ht="13.5" hidden="false" customHeight="false" outlineLevel="0" collapsed="false">
      <c r="A62" s="75" t="s">
        <v>140</v>
      </c>
      <c r="B62" s="76" t="n">
        <v>58</v>
      </c>
      <c r="C62" s="19" t="n">
        <v>0</v>
      </c>
      <c r="D62" s="19" t="n">
        <v>71.1</v>
      </c>
    </row>
    <row r="63" customFormat="false" ht="13.5" hidden="false" customHeight="false" outlineLevel="0" collapsed="false">
      <c r="A63" s="75" t="s">
        <v>140</v>
      </c>
      <c r="B63" s="76" t="n">
        <v>59</v>
      </c>
      <c r="C63" s="19" t="n">
        <v>185.4</v>
      </c>
      <c r="D63" s="19" t="n">
        <v>497.9</v>
      </c>
    </row>
    <row r="64" customFormat="false" ht="13.5" hidden="false" customHeight="false" outlineLevel="0" collapsed="false">
      <c r="A64" s="77" t="s">
        <v>140</v>
      </c>
      <c r="B64" s="76" t="n">
        <v>60</v>
      </c>
      <c r="C64" s="19" t="n">
        <v>56770.6</v>
      </c>
      <c r="D64" s="19" t="n">
        <v>6757.5</v>
      </c>
    </row>
    <row r="65" customFormat="false" ht="13.5" hidden="false" customHeight="false" outlineLevel="0" collapsed="false">
      <c r="A65" s="75" t="s">
        <v>140</v>
      </c>
      <c r="B65" s="76" t="n">
        <v>61</v>
      </c>
      <c r="C65" s="19" t="n">
        <v>6719.8</v>
      </c>
      <c r="D65" s="19" t="n">
        <v>995.8</v>
      </c>
    </row>
    <row r="66" customFormat="false" ht="13.5" hidden="false" customHeight="false" outlineLevel="0" collapsed="false">
      <c r="A66" s="75" t="s">
        <v>140</v>
      </c>
      <c r="B66" s="76" t="n">
        <v>62</v>
      </c>
      <c r="C66" s="19" t="n">
        <v>0</v>
      </c>
      <c r="D66" s="19" t="n">
        <v>0</v>
      </c>
    </row>
    <row r="67" customFormat="false" ht="13.5" hidden="false" customHeight="false" outlineLevel="0" collapsed="false">
      <c r="A67" s="75" t="s">
        <v>140</v>
      </c>
      <c r="B67" s="76" t="n">
        <v>63</v>
      </c>
      <c r="C67" s="19" t="n">
        <v>92.7</v>
      </c>
      <c r="D67" s="19" t="n">
        <v>1244.8</v>
      </c>
    </row>
    <row r="68" customFormat="false" ht="13.5" hidden="false" customHeight="false" outlineLevel="0" collapsed="false">
      <c r="A68" s="75" t="s">
        <v>140</v>
      </c>
      <c r="B68" s="76" t="n">
        <v>64</v>
      </c>
      <c r="C68" s="19" t="n">
        <v>0</v>
      </c>
      <c r="D68" s="19" t="n">
        <v>0</v>
      </c>
    </row>
    <row r="69" customFormat="false" ht="13.5" hidden="false" customHeight="false" outlineLevel="0" collapsed="false">
      <c r="A69" s="75" t="s">
        <v>140</v>
      </c>
      <c r="B69" s="76" t="n">
        <v>65</v>
      </c>
      <c r="C69" s="19" t="n">
        <v>5236.8</v>
      </c>
      <c r="D69" s="19" t="n">
        <v>1778.3</v>
      </c>
    </row>
    <row r="70" customFormat="false" ht="13.5" hidden="false" customHeight="false" outlineLevel="0" collapsed="false">
      <c r="A70" s="75" t="s">
        <v>140</v>
      </c>
      <c r="B70" s="76" t="n">
        <v>66</v>
      </c>
      <c r="C70" s="19" t="n">
        <v>278.1</v>
      </c>
      <c r="D70" s="19" t="n">
        <v>213.4</v>
      </c>
    </row>
    <row r="71" customFormat="false" ht="13.5" hidden="false" customHeight="false" outlineLevel="0" collapsed="false">
      <c r="A71" s="75" t="s">
        <v>140</v>
      </c>
      <c r="B71" s="76" t="n">
        <v>67</v>
      </c>
      <c r="C71" s="19" t="n">
        <v>556.1</v>
      </c>
      <c r="D71" s="19" t="n">
        <v>4979.2</v>
      </c>
    </row>
    <row r="72" customFormat="false" ht="13.5" hidden="false" customHeight="false" outlineLevel="0" collapsed="false">
      <c r="A72" s="75" t="s">
        <v>140</v>
      </c>
      <c r="B72" s="76" t="n">
        <v>68</v>
      </c>
      <c r="C72" s="19" t="n">
        <v>3012.3</v>
      </c>
      <c r="D72" s="19" t="n">
        <v>355.7</v>
      </c>
    </row>
    <row r="73" customFormat="false" ht="13.5" hidden="false" customHeight="false" outlineLevel="0" collapsed="false">
      <c r="A73" s="75" t="s">
        <v>140</v>
      </c>
      <c r="B73" s="76" t="n">
        <v>69</v>
      </c>
      <c r="C73" s="19" t="n">
        <v>0</v>
      </c>
      <c r="D73" s="19" t="n">
        <v>533.5</v>
      </c>
    </row>
    <row r="74" customFormat="false" ht="13.5" hidden="false" customHeight="false" outlineLevel="0" collapsed="false">
      <c r="A74" s="75" t="s">
        <v>140</v>
      </c>
      <c r="B74" s="76" t="n">
        <v>70</v>
      </c>
      <c r="C74" s="19" t="n">
        <v>0</v>
      </c>
      <c r="D74" s="19" t="n">
        <v>0</v>
      </c>
    </row>
    <row r="75" customFormat="false" ht="13.5" hidden="false" customHeight="false" outlineLevel="0" collapsed="false">
      <c r="A75" s="75" t="s">
        <v>140</v>
      </c>
      <c r="B75" s="76" t="n">
        <v>71</v>
      </c>
      <c r="C75" s="19" t="n">
        <v>0</v>
      </c>
      <c r="D75" s="19" t="n">
        <v>0</v>
      </c>
    </row>
    <row r="76" customFormat="false" ht="13.5" hidden="false" customHeight="false" outlineLevel="0" collapsed="false">
      <c r="A76" s="75" t="s">
        <v>140</v>
      </c>
      <c r="B76" s="76" t="n">
        <v>72</v>
      </c>
      <c r="C76" s="19" t="n">
        <v>17610.5</v>
      </c>
      <c r="D76" s="19" t="n">
        <v>1422.6</v>
      </c>
    </row>
    <row r="77" customFormat="false" ht="13.5" hidden="false" customHeight="false" outlineLevel="0" collapsed="false">
      <c r="A77" s="75" t="s">
        <v>140</v>
      </c>
      <c r="B77" s="76" t="n">
        <v>73</v>
      </c>
      <c r="C77" s="19" t="n">
        <v>0</v>
      </c>
      <c r="D77" s="19" t="n">
        <v>0</v>
      </c>
    </row>
    <row r="78" customFormat="false" ht="13.5" hidden="false" customHeight="false" outlineLevel="0" collapsed="false">
      <c r="A78" s="75" t="s">
        <v>140</v>
      </c>
      <c r="B78" s="76" t="n">
        <v>74</v>
      </c>
      <c r="C78" s="19" t="n">
        <v>0</v>
      </c>
      <c r="D78" s="19" t="n">
        <v>0</v>
      </c>
    </row>
    <row r="79" customFormat="false" ht="13.5" hidden="false" customHeight="false" outlineLevel="0" collapsed="false">
      <c r="A79" s="75" t="s">
        <v>140</v>
      </c>
      <c r="B79" s="76" t="n">
        <v>75</v>
      </c>
      <c r="C79" s="19" t="n">
        <v>1274.4</v>
      </c>
      <c r="D79" s="19" t="n">
        <v>355.7</v>
      </c>
    </row>
    <row r="80" customFormat="false" ht="13.5" hidden="false" customHeight="false" outlineLevel="0" collapsed="false">
      <c r="A80" s="75" t="s">
        <v>140</v>
      </c>
      <c r="B80" s="76" t="n">
        <v>76</v>
      </c>
      <c r="C80" s="19" t="n">
        <v>4634.3</v>
      </c>
      <c r="D80" s="19" t="n">
        <v>1600.5</v>
      </c>
    </row>
    <row r="81" customFormat="false" ht="13.5" hidden="false" customHeight="false" outlineLevel="0" collapsed="false">
      <c r="A81" s="75" t="s">
        <v>140</v>
      </c>
      <c r="B81" s="76" t="n">
        <v>77</v>
      </c>
      <c r="C81" s="19" t="n">
        <v>2085.4</v>
      </c>
      <c r="D81" s="19" t="n">
        <v>1600.5</v>
      </c>
    </row>
    <row r="82" customFormat="false" ht="13.5" hidden="false" customHeight="false" outlineLevel="0" collapsed="false">
      <c r="A82" s="75" t="s">
        <v>140</v>
      </c>
      <c r="B82" s="76" t="n">
        <v>78</v>
      </c>
      <c r="C82" s="19" t="n">
        <v>27574.3</v>
      </c>
      <c r="D82" s="19" t="n">
        <v>3556.6</v>
      </c>
    </row>
    <row r="83" customFormat="false" ht="13.5" hidden="false" customHeight="false" outlineLevel="0" collapsed="false">
      <c r="A83" s="75" t="s">
        <v>140</v>
      </c>
      <c r="B83" s="76" t="n">
        <v>79</v>
      </c>
      <c r="C83" s="19" t="n">
        <v>0</v>
      </c>
      <c r="D83" s="19" t="n">
        <v>0</v>
      </c>
    </row>
    <row r="84" customFormat="false" ht="13.5" hidden="false" customHeight="false" outlineLevel="0" collapsed="false">
      <c r="A84" s="75" t="s">
        <v>140</v>
      </c>
      <c r="B84" s="76" t="n">
        <v>80</v>
      </c>
      <c r="C84" s="19" t="n">
        <v>0</v>
      </c>
      <c r="D84" s="19" t="n">
        <v>0</v>
      </c>
    </row>
    <row r="85" customFormat="false" ht="13.5" hidden="false" customHeight="false" outlineLevel="0" collapsed="false">
      <c r="A85" s="75" t="s">
        <v>140</v>
      </c>
      <c r="B85" s="76" t="n">
        <v>81</v>
      </c>
      <c r="C85" s="19" t="n">
        <v>2548.9</v>
      </c>
      <c r="D85" s="19" t="n">
        <v>889.1</v>
      </c>
    </row>
    <row r="86" customFormat="false" ht="13.5" hidden="false" customHeight="false" outlineLevel="0" collapsed="false">
      <c r="A86" s="75" t="s">
        <v>140</v>
      </c>
      <c r="B86" s="76" t="n">
        <v>82</v>
      </c>
      <c r="C86" s="19" t="n">
        <v>0</v>
      </c>
      <c r="D86" s="19" t="n">
        <v>0</v>
      </c>
    </row>
    <row r="87" customFormat="false" ht="13.5" hidden="false" customHeight="false" outlineLevel="0" collapsed="false">
      <c r="A87" s="75" t="s">
        <v>140</v>
      </c>
      <c r="B87" s="76" t="n">
        <v>83</v>
      </c>
      <c r="C87" s="19" t="n">
        <v>1390.3</v>
      </c>
      <c r="D87" s="19" t="n">
        <v>1778.3</v>
      </c>
    </row>
    <row r="88" customFormat="false" ht="13.5" hidden="false" customHeight="false" outlineLevel="0" collapsed="false">
      <c r="A88" s="75" t="s">
        <v>140</v>
      </c>
      <c r="B88" s="76" t="n">
        <v>84</v>
      </c>
      <c r="C88" s="19" t="n">
        <v>19927.6</v>
      </c>
      <c r="D88" s="19" t="n">
        <v>2489.6</v>
      </c>
    </row>
    <row r="89" customFormat="false" ht="13.5" hidden="false" customHeight="false" outlineLevel="0" collapsed="false">
      <c r="A89" s="75" t="s">
        <v>140</v>
      </c>
      <c r="B89" s="76" t="n">
        <v>85</v>
      </c>
      <c r="C89" s="19" t="n">
        <v>6719.8</v>
      </c>
      <c r="D89" s="19" t="n">
        <v>2489.6</v>
      </c>
    </row>
    <row r="90" customFormat="false" ht="13.5" hidden="false" customHeight="false" outlineLevel="0" collapsed="false">
      <c r="A90" s="78" t="s">
        <v>140</v>
      </c>
      <c r="B90" s="79" t="n">
        <v>86</v>
      </c>
      <c r="C90" s="19" t="n">
        <v>10195.5</v>
      </c>
      <c r="D90" s="19" t="n">
        <v>1067</v>
      </c>
    </row>
    <row r="91" customFormat="false" ht="13.5" hidden="false" customHeight="false" outlineLevel="0" collapsed="false">
      <c r="A91" s="78" t="s">
        <v>140</v>
      </c>
      <c r="B91" s="79" t="n">
        <v>87</v>
      </c>
      <c r="C91" s="19" t="n">
        <v>4170.9</v>
      </c>
      <c r="D91" s="19" t="n">
        <v>2845.2</v>
      </c>
    </row>
    <row r="92" customFormat="false" ht="13.5" hidden="false" customHeight="false" outlineLevel="0" collapsed="false">
      <c r="A92" s="78" t="s">
        <v>140</v>
      </c>
      <c r="B92" s="79" t="n">
        <v>88</v>
      </c>
      <c r="C92" s="19" t="n">
        <v>65344.1</v>
      </c>
      <c r="D92" s="19" t="n">
        <v>7291</v>
      </c>
    </row>
    <row r="93" customFormat="false" ht="13.5" hidden="false" customHeight="false" outlineLevel="0" collapsed="false">
      <c r="A93" s="78" t="s">
        <v>140</v>
      </c>
      <c r="B93" s="79" t="n">
        <v>89</v>
      </c>
      <c r="C93" s="19" t="n">
        <v>0</v>
      </c>
      <c r="D93" s="19" t="n">
        <v>0</v>
      </c>
    </row>
    <row r="94" customFormat="false" ht="13.5" hidden="false" customHeight="false" outlineLevel="0" collapsed="false">
      <c r="A94" s="78" t="s">
        <v>140</v>
      </c>
      <c r="B94" s="79" t="n">
        <v>90</v>
      </c>
      <c r="C94" s="19" t="n">
        <v>0</v>
      </c>
      <c r="D94" s="19" t="n">
        <v>0</v>
      </c>
    </row>
    <row r="95" customFormat="false" ht="13.5" hidden="false" customHeight="false" outlineLevel="0" collapsed="false">
      <c r="A95" s="78" t="s">
        <v>140</v>
      </c>
      <c r="B95" s="79" t="n">
        <v>91</v>
      </c>
      <c r="C95" s="19" t="n">
        <v>0</v>
      </c>
      <c r="D95" s="19" t="n">
        <v>0</v>
      </c>
    </row>
    <row r="96" customFormat="false" ht="13.5" hidden="false" customHeight="false" outlineLevel="0" collapsed="false">
      <c r="A96" s="78" t="s">
        <v>140</v>
      </c>
      <c r="B96" s="79" t="n">
        <v>92</v>
      </c>
      <c r="C96" s="19" t="n">
        <v>185.4</v>
      </c>
      <c r="D96" s="19" t="n">
        <v>71.1</v>
      </c>
    </row>
    <row r="97" customFormat="false" ht="13.5" hidden="false" customHeight="false" outlineLevel="0" collapsed="false">
      <c r="A97" s="78" t="s">
        <v>140</v>
      </c>
      <c r="B97" s="79" t="n">
        <v>93</v>
      </c>
      <c r="C97" s="19" t="n">
        <v>5329.5</v>
      </c>
      <c r="D97" s="19" t="n">
        <v>533.5</v>
      </c>
    </row>
    <row r="98" customFormat="false" ht="13.5" hidden="false" customHeight="false" outlineLevel="0" collapsed="false">
      <c r="A98" s="78" t="s">
        <v>140</v>
      </c>
      <c r="B98" s="79" t="n">
        <v>94</v>
      </c>
      <c r="C98" s="19" t="n">
        <v>19464.2</v>
      </c>
      <c r="D98" s="19" t="n">
        <v>3023.1</v>
      </c>
    </row>
    <row r="99" customFormat="false" ht="13.5" hidden="false" customHeight="false" outlineLevel="0" collapsed="false">
      <c r="A99" s="78" t="s">
        <v>140</v>
      </c>
      <c r="B99" s="79" t="n">
        <v>95</v>
      </c>
      <c r="C99" s="19" t="n">
        <v>9268.7</v>
      </c>
      <c r="D99" s="19" t="n">
        <v>2133.9</v>
      </c>
    </row>
    <row r="100" customFormat="false" ht="13.5" hidden="false" customHeight="false" outlineLevel="0" collapsed="false">
      <c r="A100" s="78" t="s">
        <v>140</v>
      </c>
      <c r="B100" s="79" t="n">
        <v>96</v>
      </c>
      <c r="C100" s="19" t="n">
        <v>21781.4</v>
      </c>
      <c r="D100" s="19" t="n">
        <v>7113.1</v>
      </c>
    </row>
    <row r="101" customFormat="false" ht="13.5" hidden="false" customHeight="false" outlineLevel="0" collapsed="false">
      <c r="A101" s="78" t="s">
        <v>140</v>
      </c>
      <c r="B101" s="79" t="n">
        <v>97</v>
      </c>
      <c r="C101" s="19" t="n">
        <v>0</v>
      </c>
      <c r="D101" s="19" t="n">
        <v>0</v>
      </c>
    </row>
    <row r="102" customFormat="false" ht="13.5" hidden="false" customHeight="false" outlineLevel="0" collapsed="false">
      <c r="A102" s="78" t="s">
        <v>140</v>
      </c>
      <c r="B102" s="79" t="n">
        <v>98</v>
      </c>
      <c r="C102" s="19" t="n">
        <v>0</v>
      </c>
      <c r="D102" s="19" t="n">
        <v>0</v>
      </c>
    </row>
    <row r="103" customFormat="false" ht="13.5" hidden="false" customHeight="false" outlineLevel="0" collapsed="false">
      <c r="A103" s="78" t="s">
        <v>140</v>
      </c>
      <c r="B103" s="79" t="n">
        <v>99</v>
      </c>
      <c r="C103" s="19" t="n">
        <v>0</v>
      </c>
      <c r="D103" s="19" t="n">
        <v>0</v>
      </c>
    </row>
    <row r="104" customFormat="false" ht="13.5" hidden="false" customHeight="false" outlineLevel="0" collapsed="false">
      <c r="A104" s="78" t="s">
        <v>140</v>
      </c>
      <c r="B104" s="79" t="n">
        <v>100</v>
      </c>
      <c r="C104" s="19" t="n">
        <v>34294.1</v>
      </c>
      <c r="D104" s="19" t="n">
        <v>2133.9</v>
      </c>
    </row>
    <row r="105" customFormat="false" ht="13.5" hidden="false" customHeight="false" outlineLevel="0" collapsed="false">
      <c r="A105" s="78" t="s">
        <v>140</v>
      </c>
      <c r="B105" s="79" t="n">
        <v>101</v>
      </c>
      <c r="C105" s="19" t="n">
        <v>4170.9</v>
      </c>
      <c r="D105" s="19" t="n">
        <v>284.5</v>
      </c>
    </row>
    <row r="106" customFormat="false" ht="13.5" hidden="false" customHeight="false" outlineLevel="0" collapsed="false">
      <c r="A106" s="78" t="s">
        <v>140</v>
      </c>
      <c r="B106" s="79" t="n">
        <v>102</v>
      </c>
      <c r="C106" s="19" t="n">
        <v>15293.3</v>
      </c>
      <c r="D106" s="19" t="n">
        <v>3912.2</v>
      </c>
    </row>
    <row r="107" customFormat="false" ht="13.5" hidden="false" customHeight="false" outlineLevel="0" collapsed="false">
      <c r="A107" s="78" t="s">
        <v>140</v>
      </c>
      <c r="B107" s="79" t="n">
        <v>103</v>
      </c>
      <c r="C107" s="19" t="n">
        <v>44489.6</v>
      </c>
      <c r="D107" s="19" t="n">
        <v>6401.8</v>
      </c>
    </row>
    <row r="108" customFormat="false" ht="13.5" hidden="false" customHeight="false" outlineLevel="0" collapsed="false">
      <c r="A108" s="78" t="s">
        <v>140</v>
      </c>
      <c r="B108" s="79" t="n">
        <v>104</v>
      </c>
      <c r="C108" s="19" t="n">
        <v>0</v>
      </c>
      <c r="D108" s="19" t="n">
        <v>71.1</v>
      </c>
    </row>
    <row r="109" customFormat="false" ht="13.5" hidden="false" customHeight="false" outlineLevel="0" collapsed="false">
      <c r="A109" s="78" t="s">
        <v>140</v>
      </c>
      <c r="B109" s="79" t="n">
        <v>105</v>
      </c>
      <c r="C109" s="19" t="n">
        <v>231.7</v>
      </c>
      <c r="D109" s="19" t="n">
        <v>106.7</v>
      </c>
    </row>
    <row r="110" customFormat="false" ht="13.5" hidden="false" customHeight="false" outlineLevel="0" collapsed="false">
      <c r="A110" s="78" t="s">
        <v>140</v>
      </c>
      <c r="B110" s="79" t="n">
        <v>106</v>
      </c>
      <c r="C110" s="19" t="n">
        <v>3012.3</v>
      </c>
      <c r="D110" s="19" t="n">
        <v>355.7</v>
      </c>
    </row>
    <row r="111" customFormat="false" ht="13.5" hidden="false" customHeight="false" outlineLevel="0" collapsed="false">
      <c r="A111" s="78" t="s">
        <v>140</v>
      </c>
      <c r="B111" s="79" t="n">
        <v>107</v>
      </c>
      <c r="C111" s="19" t="n">
        <v>12049.3</v>
      </c>
      <c r="D111" s="19" t="n">
        <v>2489.6</v>
      </c>
    </row>
    <row r="112" customFormat="false" ht="13.5" hidden="false" customHeight="false" outlineLevel="0" collapsed="false">
      <c r="A112" s="78" t="s">
        <v>140</v>
      </c>
      <c r="B112" s="79" t="n">
        <v>108</v>
      </c>
      <c r="C112" s="19" t="n">
        <v>4634.3</v>
      </c>
      <c r="D112" s="19" t="n">
        <v>2667.4</v>
      </c>
    </row>
    <row r="113" customFormat="false" ht="13.5" hidden="false" customHeight="false" outlineLevel="0" collapsed="false">
      <c r="A113" s="78" t="s">
        <v>147</v>
      </c>
      <c r="B113" s="79" t="n">
        <v>109</v>
      </c>
      <c r="C113" s="19" t="n">
        <v>34636.2</v>
      </c>
      <c r="D113" s="19" t="n">
        <v>4317.1</v>
      </c>
    </row>
    <row r="114" customFormat="false" ht="13.5" hidden="false" customHeight="false" outlineLevel="0" collapsed="false">
      <c r="A114" s="78" t="s">
        <v>147</v>
      </c>
      <c r="B114" s="79" t="n">
        <v>110</v>
      </c>
      <c r="C114" s="19" t="n">
        <v>40589.3</v>
      </c>
      <c r="D114" s="19" t="n">
        <v>2158.6</v>
      </c>
    </row>
    <row r="115" customFormat="false" ht="13.5" hidden="false" customHeight="false" outlineLevel="0" collapsed="false">
      <c r="A115" s="78" t="s">
        <v>147</v>
      </c>
      <c r="B115" s="79" t="n">
        <v>111</v>
      </c>
      <c r="C115" s="19" t="n">
        <v>6223.7</v>
      </c>
      <c r="D115" s="19" t="n">
        <v>1098.9</v>
      </c>
    </row>
    <row r="116" customFormat="false" ht="13.5" hidden="false" customHeight="false" outlineLevel="0" collapsed="false">
      <c r="A116" s="78" t="s">
        <v>147</v>
      </c>
      <c r="B116" s="79" t="n">
        <v>112</v>
      </c>
      <c r="C116" s="19" t="n">
        <v>7306.1</v>
      </c>
      <c r="D116" s="19" t="n">
        <v>471</v>
      </c>
    </row>
    <row r="117" customFormat="false" ht="13.5" hidden="false" customHeight="false" outlineLevel="0" collapsed="false">
      <c r="A117" s="78" t="s">
        <v>147</v>
      </c>
      <c r="B117" s="79" t="n">
        <v>113</v>
      </c>
      <c r="C117" s="19" t="n">
        <v>0</v>
      </c>
      <c r="D117" s="19" t="n">
        <v>392.5</v>
      </c>
    </row>
    <row r="118" customFormat="false" ht="13.5" hidden="false" customHeight="false" outlineLevel="0" collapsed="false">
      <c r="A118" s="78" t="s">
        <v>147</v>
      </c>
      <c r="B118" s="79" t="n">
        <v>114</v>
      </c>
      <c r="C118" s="19" t="n">
        <v>3382.4</v>
      </c>
      <c r="D118" s="19" t="n">
        <v>3728.4</v>
      </c>
    </row>
    <row r="119" customFormat="false" ht="13.5" hidden="false" customHeight="false" outlineLevel="0" collapsed="false">
      <c r="A119" s="78" t="s">
        <v>147</v>
      </c>
      <c r="B119" s="79" t="n">
        <v>115</v>
      </c>
      <c r="C119" s="19" t="n">
        <v>14071</v>
      </c>
      <c r="D119" s="19" t="n">
        <v>1766.1</v>
      </c>
    </row>
    <row r="120" customFormat="false" ht="13.5" hidden="false" customHeight="false" outlineLevel="0" collapsed="false">
      <c r="A120" s="78" t="s">
        <v>147</v>
      </c>
      <c r="B120" s="79" t="n">
        <v>116</v>
      </c>
      <c r="C120" s="19" t="n">
        <v>0</v>
      </c>
      <c r="D120" s="19" t="n">
        <v>39.2</v>
      </c>
    </row>
    <row r="121" customFormat="false" ht="13.5" hidden="false" customHeight="false" outlineLevel="0" collapsed="false">
      <c r="A121" s="78" t="s">
        <v>147</v>
      </c>
      <c r="B121" s="79" t="n">
        <v>117</v>
      </c>
      <c r="C121" s="19" t="n">
        <v>3382.4</v>
      </c>
      <c r="D121" s="19" t="n">
        <v>392.5</v>
      </c>
    </row>
    <row r="122" customFormat="false" ht="13.5" hidden="false" customHeight="false" outlineLevel="0" collapsed="false">
      <c r="A122" s="78" t="s">
        <v>147</v>
      </c>
      <c r="B122" s="79" t="n">
        <v>118</v>
      </c>
      <c r="C122" s="19" t="n">
        <v>31118.4</v>
      </c>
      <c r="D122" s="19" t="n">
        <v>14521.2</v>
      </c>
    </row>
    <row r="123" customFormat="false" ht="13.5" hidden="false" customHeight="false" outlineLevel="0" collapsed="false">
      <c r="A123" s="78" t="s">
        <v>147</v>
      </c>
      <c r="B123" s="79" t="n">
        <v>119</v>
      </c>
      <c r="C123" s="19" t="n">
        <v>2841.2</v>
      </c>
      <c r="D123" s="19" t="n">
        <v>1766.1</v>
      </c>
    </row>
    <row r="124" customFormat="false" ht="13.5" hidden="false" customHeight="false" outlineLevel="0" collapsed="false">
      <c r="A124" s="78" t="s">
        <v>147</v>
      </c>
      <c r="B124" s="79" t="n">
        <v>120</v>
      </c>
      <c r="C124" s="19" t="n">
        <v>6764.9</v>
      </c>
      <c r="D124" s="19" t="n">
        <v>2943.5</v>
      </c>
    </row>
    <row r="125" customFormat="false" ht="13.5" hidden="false" customHeight="false" outlineLevel="0" collapsed="false">
      <c r="A125" s="78" t="s">
        <v>147</v>
      </c>
      <c r="B125" s="79" t="n">
        <v>121</v>
      </c>
      <c r="C125" s="19" t="n">
        <v>4600.1</v>
      </c>
      <c r="D125" s="19" t="n">
        <v>314</v>
      </c>
    </row>
    <row r="126" customFormat="false" ht="13.5" hidden="false" customHeight="false" outlineLevel="0" collapsed="false">
      <c r="A126" s="78" t="s">
        <v>147</v>
      </c>
      <c r="B126" s="79" t="n">
        <v>122</v>
      </c>
      <c r="C126" s="19" t="n">
        <v>15965.1</v>
      </c>
      <c r="D126" s="19" t="n">
        <v>1766.1</v>
      </c>
    </row>
    <row r="127" customFormat="false" ht="13.5" hidden="false" customHeight="false" outlineLevel="0" collapsed="false">
      <c r="A127" s="78" t="s">
        <v>147</v>
      </c>
      <c r="B127" s="79" t="n">
        <v>123</v>
      </c>
      <c r="C127" s="19" t="n">
        <v>541.2</v>
      </c>
      <c r="D127" s="19" t="n">
        <v>235.5</v>
      </c>
    </row>
    <row r="128" customFormat="false" ht="13.5" hidden="false" customHeight="false" outlineLevel="0" collapsed="false">
      <c r="A128" s="78" t="s">
        <v>147</v>
      </c>
      <c r="B128" s="79" t="n">
        <v>124</v>
      </c>
      <c r="C128" s="19" t="n">
        <v>189.4</v>
      </c>
      <c r="D128" s="19" t="n">
        <v>314</v>
      </c>
    </row>
    <row r="129" customFormat="false" ht="13.5" hidden="false" customHeight="false" outlineLevel="0" collapsed="false">
      <c r="A129" s="78" t="s">
        <v>147</v>
      </c>
      <c r="B129" s="79" t="n">
        <v>125</v>
      </c>
      <c r="C129" s="20" t="n">
        <v>0</v>
      </c>
      <c r="D129" s="20" t="n">
        <v>0</v>
      </c>
    </row>
    <row r="130" customFormat="false" ht="13.5" hidden="false" customHeight="false" outlineLevel="0" collapsed="false">
      <c r="A130" s="78" t="s">
        <v>147</v>
      </c>
      <c r="B130" s="79" t="n">
        <v>126</v>
      </c>
      <c r="C130" s="20" t="n">
        <v>1082.4</v>
      </c>
      <c r="D130" s="20" t="n">
        <v>392.5</v>
      </c>
    </row>
    <row r="131" customFormat="false" ht="13.5" hidden="false" customHeight="false" outlineLevel="0" collapsed="false">
      <c r="A131" s="78" t="s">
        <v>147</v>
      </c>
      <c r="B131" s="79" t="n">
        <v>127</v>
      </c>
      <c r="C131" s="20" t="n">
        <v>25436</v>
      </c>
      <c r="D131" s="20" t="n">
        <v>5494.5</v>
      </c>
    </row>
    <row r="132" customFormat="false" ht="13.5" hidden="false" customHeight="false" outlineLevel="0" collapsed="false">
      <c r="A132" s="78" t="s">
        <v>147</v>
      </c>
      <c r="B132" s="79" t="n">
        <v>128</v>
      </c>
      <c r="C132" s="20" t="n">
        <v>48165.9</v>
      </c>
      <c r="D132" s="20" t="n">
        <v>5887</v>
      </c>
    </row>
    <row r="133" customFormat="false" ht="13.5" hidden="false" customHeight="false" outlineLevel="0" collapsed="false">
      <c r="A133" s="78" t="s">
        <v>147</v>
      </c>
      <c r="B133" s="79" t="n">
        <v>129</v>
      </c>
      <c r="C133" s="20" t="n">
        <v>5817.8</v>
      </c>
      <c r="D133" s="20" t="n">
        <v>784.9</v>
      </c>
    </row>
    <row r="134" customFormat="false" ht="13.5" hidden="false" customHeight="false" outlineLevel="0" collapsed="false">
      <c r="A134" s="78" t="s">
        <v>147</v>
      </c>
      <c r="B134" s="79" t="n">
        <v>130</v>
      </c>
      <c r="C134" s="20" t="n">
        <v>14071</v>
      </c>
      <c r="D134" s="20" t="n">
        <v>2943.5</v>
      </c>
    </row>
    <row r="135" customFormat="false" ht="13.5" hidden="false" customHeight="false" outlineLevel="0" collapsed="false">
      <c r="A135" s="78" t="s">
        <v>147</v>
      </c>
      <c r="B135" s="79" t="n">
        <v>131</v>
      </c>
      <c r="C135" s="20" t="n">
        <v>19482.9</v>
      </c>
      <c r="D135" s="20" t="n">
        <v>2943.5</v>
      </c>
    </row>
    <row r="136" customFormat="false" ht="13.5" hidden="false" customHeight="false" outlineLevel="0" collapsed="false">
      <c r="A136" s="78" t="s">
        <v>147</v>
      </c>
      <c r="B136" s="79" t="n">
        <v>132</v>
      </c>
      <c r="C136" s="20" t="n">
        <v>2029.5</v>
      </c>
      <c r="D136" s="20" t="n">
        <v>1177.4</v>
      </c>
    </row>
    <row r="137" customFormat="false" ht="13.5" hidden="false" customHeight="false" outlineLevel="0" collapsed="false">
      <c r="A137" s="78" t="s">
        <v>147</v>
      </c>
      <c r="B137" s="79" t="n">
        <v>133</v>
      </c>
      <c r="C137" s="20" t="n">
        <v>45730.6</v>
      </c>
      <c r="D137" s="20" t="n">
        <v>3532.2</v>
      </c>
    </row>
    <row r="138" customFormat="false" ht="13.5" hidden="false" customHeight="false" outlineLevel="0" collapsed="false">
      <c r="A138" s="78" t="s">
        <v>147</v>
      </c>
      <c r="B138" s="79" t="n">
        <v>134</v>
      </c>
      <c r="C138" s="20" t="n">
        <v>0</v>
      </c>
      <c r="D138" s="20" t="n">
        <v>0</v>
      </c>
    </row>
    <row r="139" customFormat="false" ht="13.5" hidden="false" customHeight="false" outlineLevel="0" collapsed="false">
      <c r="A139" s="78" t="s">
        <v>147</v>
      </c>
      <c r="B139" s="79" t="n">
        <v>135</v>
      </c>
      <c r="C139" s="20" t="n">
        <v>17859.3</v>
      </c>
      <c r="D139" s="20" t="n">
        <v>2354.8</v>
      </c>
    </row>
    <row r="140" customFormat="false" ht="13.5" hidden="false" customHeight="false" outlineLevel="0" collapsed="false">
      <c r="A140" s="78" t="s">
        <v>147</v>
      </c>
      <c r="B140" s="79" t="n">
        <v>136</v>
      </c>
      <c r="C140" s="20" t="n">
        <v>37883.3</v>
      </c>
      <c r="D140" s="20" t="n">
        <v>4513.4</v>
      </c>
    </row>
    <row r="141" customFormat="false" ht="13.5" hidden="false" customHeight="false" outlineLevel="0" collapsed="false">
      <c r="A141" s="78" t="s">
        <v>147</v>
      </c>
      <c r="B141" s="79" t="n">
        <v>137</v>
      </c>
      <c r="C141" s="20" t="n">
        <v>63048.7</v>
      </c>
      <c r="D141" s="20" t="n">
        <v>5102.1</v>
      </c>
    </row>
    <row r="142" customFormat="false" ht="13.5" hidden="false" customHeight="false" outlineLevel="0" collapsed="false">
      <c r="A142" s="78" t="s">
        <v>147</v>
      </c>
      <c r="B142" s="79" t="n">
        <v>138</v>
      </c>
      <c r="C142" s="20" t="n">
        <v>13259.2</v>
      </c>
      <c r="D142" s="20" t="n">
        <v>784.9</v>
      </c>
    </row>
    <row r="143" customFormat="false" ht="13.5" hidden="false" customHeight="false" outlineLevel="0" collapsed="false">
      <c r="A143" s="78" t="s">
        <v>147</v>
      </c>
      <c r="B143" s="79" t="n">
        <v>139</v>
      </c>
      <c r="C143" s="20" t="n">
        <v>17318.1</v>
      </c>
      <c r="D143" s="20" t="n">
        <v>863.4</v>
      </c>
    </row>
    <row r="144" customFormat="false" ht="13.5" hidden="false" customHeight="false" outlineLevel="0" collapsed="false">
      <c r="A144" s="21" t="s">
        <v>147</v>
      </c>
      <c r="B144" s="21" t="n">
        <v>140</v>
      </c>
      <c r="C144" s="20" t="n">
        <v>19482.9</v>
      </c>
      <c r="D144" s="20" t="n">
        <v>1766.1</v>
      </c>
    </row>
  </sheetData>
  <mergeCells count="1">
    <mergeCell ref="C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2023-11-02T09:48:02Z</dcterms:created>
  <dc:creator>Germaine Bronkhorst (ATKB)</dc:creator>
  <dc:description/>
  <dc:language>nl-NL</dc:language>
  <cp:lastModifiedBy/>
  <dcterms:modified xsi:type="dcterms:W3CDTF">2026-03-24T16:24:19Z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43571-9408-4177-b9fc-8aa89b201ffe_ActionId">
    <vt:lpwstr>24c7f997-c83c-4932-ae88-67e988cb3d1e</vt:lpwstr>
  </property>
  <property fmtid="{D5CDD505-2E9C-101B-9397-08002B2CF9AE}" pid="3" name="MSIP_Label_2a543571-9408-4177-b9fc-8aa89b201ffe_ContentBits">
    <vt:lpwstr>0</vt:lpwstr>
  </property>
  <property fmtid="{D5CDD505-2E9C-101B-9397-08002B2CF9AE}" pid="4" name="MSIP_Label_2a543571-9408-4177-b9fc-8aa89b201ffe_Enabled">
    <vt:lpwstr>true</vt:lpwstr>
  </property>
  <property fmtid="{D5CDD505-2E9C-101B-9397-08002B2CF9AE}" pid="5" name="MSIP_Label_2a543571-9408-4177-b9fc-8aa89b201ffe_Method">
    <vt:lpwstr>Standard</vt:lpwstr>
  </property>
  <property fmtid="{D5CDD505-2E9C-101B-9397-08002B2CF9AE}" pid="6" name="MSIP_Label_2a543571-9408-4177-b9fc-8aa89b201ffe_Name">
    <vt:lpwstr>Eurofins Internal</vt:lpwstr>
  </property>
  <property fmtid="{D5CDD505-2E9C-101B-9397-08002B2CF9AE}" pid="7" name="MSIP_Label_2a543571-9408-4177-b9fc-8aa89b201ffe_SetDate">
    <vt:lpwstr>2023-12-20T07:50:28Z</vt:lpwstr>
  </property>
  <property fmtid="{D5CDD505-2E9C-101B-9397-08002B2CF9AE}" pid="8" name="MSIP_Label_2a543571-9408-4177-b9fc-8aa89b201ffe_SiteId">
    <vt:lpwstr>c94e2732-29d6-41d6-89d9-08c9798a6601</vt:lpwstr>
  </property>
</Properties>
</file>