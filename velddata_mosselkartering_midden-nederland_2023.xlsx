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formatie" sheetId="1" state="visible" r:id="rId3"/>
    <sheet name="Bijlage 4" sheetId="2" state="visible" r:id="rId4"/>
    <sheet name="Bijlage 5a" sheetId="3" state="visible" r:id="rId5"/>
    <sheet name="Bijlage 5b" sheetId="4" state="visible" r:id="rId6"/>
    <sheet name="Bijlage 6" sheetId="5" state="visible" r:id="rId7"/>
    <sheet name="Bijlage 7" sheetId="6" state="visible" r:id="rId8"/>
  </sheets>
  <definedNames>
    <definedName function="false" hidden="false" localSheetId="1" name="_xlnm.Print_Area" vbProcedure="false">'Bijlage 4'!$A$1:$AF$58</definedName>
    <definedName function="false" hidden="false" localSheetId="1" name="_xlnm.Print_Titles" vbProcedure="false">'Bijlage 4'!$A:$B,'Bijlage 4'!$1:$2</definedName>
    <definedName function="false" hidden="true" localSheetId="1" name="_xlnm._FilterDatabase" vbProcedure="false">'Bijlage 4'!$A$2:$AE$2</definedName>
    <definedName function="false" hidden="false" localSheetId="2" name="_xlnm.Print_Area" vbProcedure="false">'Bijlage 5a'!$A$1:$P$40</definedName>
    <definedName function="false" hidden="false" localSheetId="3" name="_xlnm.Print_Area" vbProcedure="false">'Bijlage 5b'!$A$1:$P$40</definedName>
    <definedName function="false" hidden="false" localSheetId="4" name="_xlnm.Print_Area" vbProcedure="false">'Bijlage 6'!$A$1:$AD$35</definedName>
    <definedName function="false" hidden="false" localSheetId="5" name="_xlnm.Print_Area" vbProcedure="false">'Bijlage 7'!$A$1:$E$129</definedName>
    <definedName function="false" hidden="false" localSheetId="5" name="_xlnm.Print_Titles" vbProcedure="false">'Bijlage 7'!$3:$4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<sst xmlns="http://schemas.openxmlformats.org/spreadsheetml/2006/main" count="2724" uniqueCount="288">
  <si>
    <t xml:space="preserve">Bemonsteringsdata: 16 oktober t/m 1 november</t>
  </si>
  <si>
    <t xml:space="preserve">Op alle locaties is een Van Veenhapper gebruikt met bemonsteringsoppervlak van 260 cm2</t>
  </si>
  <si>
    <t xml:space="preserve">Op elke locatie zijn 5 happen genomen, binnen 10 meter vanaf de hoofdlocatie</t>
  </si>
  <si>
    <t xml:space="preserve">Asvrij droog vleesgewicht (ADV) bepaald van driehoeks en quaggamosselen (dit voor beide methoden (vlees verwijderend en schelp aan 1 kant open)).</t>
  </si>
  <si>
    <t xml:space="preserve">Drooggewicht: 48 uur bij 60 graden C.</t>
  </si>
  <si>
    <t xml:space="preserve">Asrest: 4 uur bij 490 graden C.</t>
  </si>
  <si>
    <t xml:space="preserve">Sedimenttype:</t>
  </si>
  <si>
    <t xml:space="preserve">Percentage lutumgehalte</t>
  </si>
  <si>
    <t xml:space="preserve">PAS= Primair aanhechtingsubstraat:</t>
  </si>
  <si>
    <t xml:space="preserve">K</t>
  </si>
  <si>
    <t xml:space="preserve">Klei</t>
  </si>
  <si>
    <t xml:space="preserve">Omschrijving</t>
  </si>
  <si>
    <t xml:space="preserve">Beoordeling</t>
  </si>
  <si>
    <t xml:space="preserve">Percentage</t>
  </si>
  <si>
    <t xml:space="preserve">D</t>
  </si>
  <si>
    <t xml:space="preserve">Dreissena</t>
  </si>
  <si>
    <t xml:space="preserve">Z</t>
  </si>
  <si>
    <t xml:space="preserve">Zand</t>
  </si>
  <si>
    <t xml:space="preserve">Klei-arm zand. Strandzand</t>
  </si>
  <si>
    <t xml:space="preserve">Schuurt tussen duim en wijsvinger.</t>
  </si>
  <si>
    <t xml:space="preserve">0-2%</t>
  </si>
  <si>
    <t xml:space="preserve">M</t>
  </si>
  <si>
    <t xml:space="preserve">Mytilus</t>
  </si>
  <si>
    <t xml:space="preserve">Z/s</t>
  </si>
  <si>
    <t xml:space="preserve">Meest zand (met slib)</t>
  </si>
  <si>
    <t xml:space="preserve">Kleihoudend zand</t>
  </si>
  <si>
    <t xml:space="preserve">Iets vuil, smeert ietsje. Schuurt nog onverminderd, klein slibwolkje als je het in een plas gooit.</t>
  </si>
  <si>
    <t xml:space="preserve">2-5%</t>
  </si>
  <si>
    <t xml:space="preserve">C</t>
  </si>
  <si>
    <t xml:space="preserve">Corbicula</t>
  </si>
  <si>
    <t xml:space="preserve">V</t>
  </si>
  <si>
    <t xml:space="preserve">Veen</t>
  </si>
  <si>
    <t xml:space="preserve">Kleiig zand/ slibbig zand</t>
  </si>
  <si>
    <t xml:space="preserve">Smeert. Bij knijpen gaat een klein deel tussen de vingers door.</t>
  </si>
  <si>
    <t xml:space="preserve">5-8%</t>
  </si>
  <si>
    <t xml:space="preserve">Zuiderzeeschelpen</t>
  </si>
  <si>
    <t xml:space="preserve">S</t>
  </si>
  <si>
    <t xml:space="preserve">Slib</t>
  </si>
  <si>
    <t xml:space="preserve">Zeer lichte zavel</t>
  </si>
  <si>
    <t xml:space="preserve">Smeert goed.  Bij knijpen grotendeels weg, iets zand over in de hand.</t>
  </si>
  <si>
    <t xml:space="preserve">8-12%</t>
  </si>
  <si>
    <t xml:space="preserve">N</t>
  </si>
  <si>
    <t xml:space="preserve">Najaden (o.a. zwanenmossels)</t>
  </si>
  <si>
    <t xml:space="preserve">S/z</t>
  </si>
  <si>
    <t xml:space="preserve">Meest slib (met zand)</t>
  </si>
  <si>
    <t xml:space="preserve">Matig lichte zavel</t>
  </si>
  <si>
    <t xml:space="preserve">Smeert goed. Zand alleen nog goed te voelen tussen duim en wijsvinger.</t>
  </si>
  <si>
    <t xml:space="preserve">12-17%</t>
  </si>
  <si>
    <t xml:space="preserve">W</t>
  </si>
  <si>
    <t xml:space="preserve">Waterplanten</t>
  </si>
  <si>
    <t xml:space="preserve">G</t>
  </si>
  <si>
    <t xml:space="preserve">Grind</t>
  </si>
  <si>
    <t xml:space="preserve">Zware zavel</t>
  </si>
  <si>
    <t xml:space="preserve">Smeert goed. Bijna geen zand meer te voelen. Klei wil niet meer van vingers afspoelen.</t>
  </si>
  <si>
    <t xml:space="preserve">17-25%</t>
  </si>
  <si>
    <t xml:space="preserve">Overig</t>
  </si>
  <si>
    <t xml:space="preserve">X</t>
  </si>
  <si>
    <t xml:space="preserve">Grof materiaal (stenen, schelpen)</t>
  </si>
  <si>
    <t xml:space="preserve">Lichte klei</t>
  </si>
  <si>
    <t xml:space="preserve">Bijna stopverf, als molykote tussen duim en vinger. Zand alleen nog te proeven.</t>
  </si>
  <si>
    <t xml:space="preserve">25-35%</t>
  </si>
  <si>
    <t xml:space="preserve">Y</t>
  </si>
  <si>
    <t xml:space="preserve">Anders</t>
  </si>
  <si>
    <t xml:space="preserve">Zware klei</t>
  </si>
  <si>
    <t xml:space="preserve">Bijna stopverf, als molykote tussen duim en vinger. Geen zand meer te proeven.</t>
  </si>
  <si>
    <t xml:space="preserve">&gt;35%</t>
  </si>
  <si>
    <t xml:space="preserve">Coordinaten gepland (RD)</t>
  </si>
  <si>
    <t xml:space="preserve">Coordinaten uitgevoerd (RD)</t>
  </si>
  <si>
    <t xml:space="preserve">Biovolumes (ml)</t>
  </si>
  <si>
    <t xml:space="preserve">Aantallen</t>
  </si>
  <si>
    <t xml:space="preserve">Sedimenttype (k, z, z/s, v, y, s, s/z, g, x) per hap</t>
  </si>
  <si>
    <t xml:space="preserve">Percentage lutum per hap</t>
  </si>
  <si>
    <t xml:space="preserve">PAS (D, M, C, Z, N, W, O) per hap </t>
  </si>
  <si>
    <t xml:space="preserve">Deelgebied</t>
  </si>
  <si>
    <t xml:space="preserve">Locatie</t>
  </si>
  <si>
    <t xml:space="preserve">x</t>
  </si>
  <si>
    <t xml:space="preserve">y</t>
  </si>
  <si>
    <t xml:space="preserve">Datum</t>
  </si>
  <si>
    <t xml:space="preserve">Waterdiepte (m)</t>
  </si>
  <si>
    <t xml:space="preserve">Driehoeksmossel</t>
  </si>
  <si>
    <t xml:space="preserve">Quaggamossel</t>
  </si>
  <si>
    <t xml:space="preserve">Mytilidae</t>
  </si>
  <si>
    <t xml:space="preserve">Najaden</t>
  </si>
  <si>
    <t xml:space="preserve">Monsters lab</t>
  </si>
  <si>
    <t xml:space="preserve">Weer</t>
  </si>
  <si>
    <t xml:space="preserve">Opmerkingen</t>
  </si>
  <si>
    <t xml:space="preserve">Zwartemeer</t>
  </si>
  <si>
    <t xml:space="preserve">ZWRT_1</t>
  </si>
  <si>
    <t xml:space="preserve">k</t>
  </si>
  <si>
    <t xml:space="preserve">17-25</t>
  </si>
  <si>
    <t xml:space="preserve">-</t>
  </si>
  <si>
    <t xml:space="preserve">d</t>
  </si>
  <si>
    <t xml:space="preserve">Bewolkt, zonnig, O2-4, 13 C°</t>
  </si>
  <si>
    <t xml:space="preserve">ZWRT_2</t>
  </si>
  <si>
    <t xml:space="preserve">s</t>
  </si>
  <si>
    <t xml:space="preserve">ja</t>
  </si>
  <si>
    <t xml:space="preserve">ZWRT_3</t>
  </si>
  <si>
    <t xml:space="preserve">12-17</t>
  </si>
  <si>
    <t xml:space="preserve">c</t>
  </si>
  <si>
    <t xml:space="preserve">ZWRT_4</t>
  </si>
  <si>
    <t xml:space="preserve">k, s</t>
  </si>
  <si>
    <t xml:space="preserve">25-35</t>
  </si>
  <si>
    <t xml:space="preserve">ZWRT_5</t>
  </si>
  <si>
    <t xml:space="preserve">z/s</t>
  </si>
  <si>
    <t xml:space="preserve">8-12</t>
  </si>
  <si>
    <t xml:space="preserve">ZWRT_6</t>
  </si>
  <si>
    <t xml:space="preserve">ZWRT_7</t>
  </si>
  <si>
    <t xml:space="preserve">z, x</t>
  </si>
  <si>
    <t xml:space="preserve">z</t>
  </si>
  <si>
    <t xml:space="preserve">&gt;35</t>
  </si>
  <si>
    <t xml:space="preserve">5-8</t>
  </si>
  <si>
    <t xml:space="preserve">ZWRT_8</t>
  </si>
  <si>
    <t xml:space="preserve">d, n</t>
  </si>
  <si>
    <t xml:space="preserve">d, c</t>
  </si>
  <si>
    <t xml:space="preserve">ZWRT_9</t>
  </si>
  <si>
    <t xml:space="preserve">ZWRT_10</t>
  </si>
  <si>
    <t xml:space="preserve">s/z</t>
  </si>
  <si>
    <t xml:space="preserve">ZWRT_11</t>
  </si>
  <si>
    <t xml:space="preserve">ZWRT_12</t>
  </si>
  <si>
    <t xml:space="preserve">ZWRT_13</t>
  </si>
  <si>
    <t xml:space="preserve">ZWRT_14</t>
  </si>
  <si>
    <t xml:space="preserve">ZWRT_15</t>
  </si>
  <si>
    <t xml:space="preserve">ZWRT_16</t>
  </si>
  <si>
    <t xml:space="preserve">d, o</t>
  </si>
  <si>
    <t xml:space="preserve">PAS overig: steen</t>
  </si>
  <si>
    <t xml:space="preserve">ZWRT_17</t>
  </si>
  <si>
    <t xml:space="preserve">ZWRT_18</t>
  </si>
  <si>
    <t xml:space="preserve">ZWRT_19</t>
  </si>
  <si>
    <t xml:space="preserve">ZWRT_20</t>
  </si>
  <si>
    <t xml:space="preserve">ZWRT_21</t>
  </si>
  <si>
    <t xml:space="preserve">ZWRT_22</t>
  </si>
  <si>
    <t xml:space="preserve">ZWRT_23</t>
  </si>
  <si>
    <t xml:space="preserve">Ketelmeer</t>
  </si>
  <si>
    <t xml:space="preserve">KET_24</t>
  </si>
  <si>
    <t xml:space="preserve">Bewolkt, regen, W1-2, 13 C°</t>
  </si>
  <si>
    <t xml:space="preserve">KET_25</t>
  </si>
  <si>
    <t xml:space="preserve">n</t>
  </si>
  <si>
    <t xml:space="preserve">KET_26</t>
  </si>
  <si>
    <t xml:space="preserve">KET_27</t>
  </si>
  <si>
    <t xml:space="preserve">d, c, n</t>
  </si>
  <si>
    <t xml:space="preserve">KET_28</t>
  </si>
  <si>
    <t xml:space="preserve">KET_29</t>
  </si>
  <si>
    <t xml:space="preserve">KET_30</t>
  </si>
  <si>
    <t xml:space="preserve">KET_31</t>
  </si>
  <si>
    <t xml:space="preserve">KET_32</t>
  </si>
  <si>
    <t xml:space="preserve">KET_33</t>
  </si>
  <si>
    <t xml:space="preserve">KET_34</t>
  </si>
  <si>
    <t xml:space="preserve">KET_35</t>
  </si>
  <si>
    <t xml:space="preserve">KET_36</t>
  </si>
  <si>
    <t xml:space="preserve">KET_37</t>
  </si>
  <si>
    <t xml:space="preserve">KET_38</t>
  </si>
  <si>
    <t xml:space="preserve">KET_39</t>
  </si>
  <si>
    <t xml:space="preserve">KET_40</t>
  </si>
  <si>
    <t xml:space="preserve">k, s/z</t>
  </si>
  <si>
    <t xml:space="preserve">KET_41</t>
  </si>
  <si>
    <t xml:space="preserve">KET_42</t>
  </si>
  <si>
    <t xml:space="preserve">KET_43</t>
  </si>
  <si>
    <t xml:space="preserve">KET_44</t>
  </si>
  <si>
    <t xml:space="preserve">KET_45</t>
  </si>
  <si>
    <t xml:space="preserve">KET_46</t>
  </si>
  <si>
    <t xml:space="preserve">2-5</t>
  </si>
  <si>
    <t xml:space="preserve">Vossemeer</t>
  </si>
  <si>
    <t xml:space="preserve">VOS_47</t>
  </si>
  <si>
    <t xml:space="preserve">Bewolkt, O4, 13 C°</t>
  </si>
  <si>
    <t xml:space="preserve">VOS_48</t>
  </si>
  <si>
    <t xml:space="preserve">VOS_49</t>
  </si>
  <si>
    <t xml:space="preserve">Verplaatst, ivm ondiepte</t>
  </si>
  <si>
    <t xml:space="preserve">VOS_53</t>
  </si>
  <si>
    <t xml:space="preserve">VOS_54</t>
  </si>
  <si>
    <t xml:space="preserve">VOS_55</t>
  </si>
  <si>
    <t xml:space="preserve">VOS_56</t>
  </si>
  <si>
    <t xml:space="preserve">VOS_64</t>
  </si>
  <si>
    <t xml:space="preserve">z/s, v</t>
  </si>
  <si>
    <t xml:space="preserve">VOS_66</t>
  </si>
  <si>
    <t xml:space="preserve">VOS_67</t>
  </si>
  <si>
    <t xml:space="preserve">Drontermeer</t>
  </si>
  <si>
    <t xml:space="preserve">DRT_57</t>
  </si>
  <si>
    <t xml:space="preserve">Bewolkt, mistig, ZO2-3, 14 C°</t>
  </si>
  <si>
    <t xml:space="preserve">DRT_58</t>
  </si>
  <si>
    <t xml:space="preserve">o</t>
  </si>
  <si>
    <t xml:space="preserve">DRT_59</t>
  </si>
  <si>
    <t xml:space="preserve">DRT_60</t>
  </si>
  <si>
    <t xml:space="preserve">Punt verplaatst, ivm ondiepte</t>
  </si>
  <si>
    <t xml:space="preserve">DRT_61</t>
  </si>
  <si>
    <t xml:space="preserve">DRT_62</t>
  </si>
  <si>
    <t xml:space="preserve">DRT_63</t>
  </si>
  <si>
    <t xml:space="preserve">s/z, v</t>
  </si>
  <si>
    <t xml:space="preserve">DRT_65</t>
  </si>
  <si>
    <t xml:space="preserve">Veluwemeer</t>
  </si>
  <si>
    <t xml:space="preserve">VEL_68</t>
  </si>
  <si>
    <t xml:space="preserve">Bewolkt, ZO3-4, 13 C°</t>
  </si>
  <si>
    <t xml:space="preserve">Punt verplaatst, origineel punt lag op het land</t>
  </si>
  <si>
    <t xml:space="preserve">VEL_69</t>
  </si>
  <si>
    <t xml:space="preserve">Bewolkt, regen, 15 C°</t>
  </si>
  <si>
    <t xml:space="preserve">VEL_70</t>
  </si>
  <si>
    <t xml:space="preserve">VEL_71</t>
  </si>
  <si>
    <t xml:space="preserve">VEL_72</t>
  </si>
  <si>
    <t xml:space="preserve">VEL_73</t>
  </si>
  <si>
    <t xml:space="preserve">w</t>
  </si>
  <si>
    <t xml:space="preserve">VEL_74</t>
  </si>
  <si>
    <t xml:space="preserve">VEL_75</t>
  </si>
  <si>
    <t xml:space="preserve">PAS overig: slak</t>
  </si>
  <si>
    <t xml:space="preserve">VEL_76</t>
  </si>
  <si>
    <t xml:space="preserve">VEL_77</t>
  </si>
  <si>
    <t xml:space="preserve">VEL_78</t>
  </si>
  <si>
    <t xml:space="preserve">VEL_79</t>
  </si>
  <si>
    <t xml:space="preserve">VEL_80</t>
  </si>
  <si>
    <t xml:space="preserve">VEL_81</t>
  </si>
  <si>
    <t xml:space="preserve">d, w</t>
  </si>
  <si>
    <t xml:space="preserve">VEL_82</t>
  </si>
  <si>
    <t xml:space="preserve">VEL_83</t>
  </si>
  <si>
    <t xml:space="preserve">VEL_84</t>
  </si>
  <si>
    <t xml:space="preserve">VEL_85</t>
  </si>
  <si>
    <t xml:space="preserve">VEL_86</t>
  </si>
  <si>
    <t xml:space="preserve">VEL_87</t>
  </si>
  <si>
    <t xml:space="preserve">VEL_88</t>
  </si>
  <si>
    <t xml:space="preserve">VEL_89</t>
  </si>
  <si>
    <t xml:space="preserve">VEL_90</t>
  </si>
  <si>
    <t xml:space="preserve">VEL_91</t>
  </si>
  <si>
    <t xml:space="preserve">VEL_92</t>
  </si>
  <si>
    <t xml:space="preserve">VEL_93</t>
  </si>
  <si>
    <t xml:space="preserve">VEL_94</t>
  </si>
  <si>
    <t xml:space="preserve">VEL_95</t>
  </si>
  <si>
    <t xml:space="preserve">Wolderwijd</t>
  </si>
  <si>
    <t xml:space="preserve">WOLD_96</t>
  </si>
  <si>
    <t xml:space="preserve">Bewolkt, regen, ZZO3-5, 11 C°</t>
  </si>
  <si>
    <t xml:space="preserve">WOLD_97</t>
  </si>
  <si>
    <t xml:space="preserve">WOLD_98</t>
  </si>
  <si>
    <t xml:space="preserve">WOLD_99</t>
  </si>
  <si>
    <t xml:space="preserve">Punt verplaatst, origineel lag op het land</t>
  </si>
  <si>
    <t xml:space="preserve">WOLD_100</t>
  </si>
  <si>
    <t xml:space="preserve">WOLD_101</t>
  </si>
  <si>
    <t xml:space="preserve">c, z</t>
  </si>
  <si>
    <t xml:space="preserve">z, w</t>
  </si>
  <si>
    <t xml:space="preserve">z, o</t>
  </si>
  <si>
    <t xml:space="preserve">WOLD_102</t>
  </si>
  <si>
    <t xml:space="preserve">WOLD_103</t>
  </si>
  <si>
    <t xml:space="preserve">WOLD_104</t>
  </si>
  <si>
    <t xml:space="preserve">sx</t>
  </si>
  <si>
    <t xml:space="preserve">WOLD_105</t>
  </si>
  <si>
    <t xml:space="preserve">WOLD_106</t>
  </si>
  <si>
    <t xml:space="preserve">d, z, w</t>
  </si>
  <si>
    <t xml:space="preserve">d, w, o</t>
  </si>
  <si>
    <t xml:space="preserve">WOLD_107</t>
  </si>
  <si>
    <t xml:space="preserve">d, z</t>
  </si>
  <si>
    <t xml:space="preserve">w, o</t>
  </si>
  <si>
    <t xml:space="preserve">WOLD_108</t>
  </si>
  <si>
    <t xml:space="preserve">WOLD_109</t>
  </si>
  <si>
    <t xml:space="preserve">WOLD_110</t>
  </si>
  <si>
    <t xml:space="preserve">WOLD_111</t>
  </si>
  <si>
    <t xml:space="preserve">WOLD_112</t>
  </si>
  <si>
    <t xml:space="preserve">WOLD_113</t>
  </si>
  <si>
    <t xml:space="preserve">WOLD_114</t>
  </si>
  <si>
    <t xml:space="preserve">WOLD_115</t>
  </si>
  <si>
    <t xml:space="preserve">d, c, o</t>
  </si>
  <si>
    <t xml:space="preserve">WOLD_116</t>
  </si>
  <si>
    <t xml:space="preserve">WOLD_117</t>
  </si>
  <si>
    <t xml:space="preserve">Nuldernauw</t>
  </si>
  <si>
    <t xml:space="preserve">NULD_118</t>
  </si>
  <si>
    <t xml:space="preserve">z, v</t>
  </si>
  <si>
    <t xml:space="preserve">NULD_119</t>
  </si>
  <si>
    <t xml:space="preserve">NULD_120</t>
  </si>
  <si>
    <t xml:space="preserve">PAS overig: slak; punt verplaatst, origineel lag in afgesloten natuurgebied</t>
  </si>
  <si>
    <t xml:space="preserve">NULD_121</t>
  </si>
  <si>
    <t xml:space="preserve">NULD_122</t>
  </si>
  <si>
    <t xml:space="preserve">NULD_123</t>
  </si>
  <si>
    <t xml:space="preserve">NULD_124</t>
  </si>
  <si>
    <t xml:space="preserve">NULD_125</t>
  </si>
  <si>
    <t xml:space="preserve">NULD_126</t>
  </si>
  <si>
    <t xml:space="preserve">NULD_127</t>
  </si>
  <si>
    <t xml:space="preserve">Aantallen aangetroffen mosselen in de meegenomen monsters</t>
  </si>
  <si>
    <t xml:space="preserve">Lengteklasse (mm)</t>
  </si>
  <si>
    <t xml:space="preserve">Totaal</t>
  </si>
  <si>
    <t xml:space="preserve">Bugensis</t>
  </si>
  <si>
    <t xml:space="preserve">Polymorpha</t>
  </si>
  <si>
    <t xml:space="preserve">Procentuele verspreiding van de lengteklassen per soort per deelgebied</t>
  </si>
  <si>
    <t xml:space="preserve">Gemiddeld ADV van lengteklassen van de quagga- en driehoeksmossel in de deelgebieden</t>
  </si>
  <si>
    <t xml:space="preserve">Tabel 2: V4 van A2.120: Schelp aan 1 kant opengemaakt gehaald alvorens te verassen, vlees verast in schelp</t>
  </si>
  <si>
    <t xml:space="preserve">SL (mm)</t>
  </si>
  <si>
    <t xml:space="preserve">D. bugensis</t>
  </si>
  <si>
    <t xml:space="preserve">D. polymorpha</t>
  </si>
  <si>
    <t xml:space="preserve">ADV/mossel</t>
  </si>
  <si>
    <t xml:space="preserve">N bugensis</t>
  </si>
  <si>
    <t xml:space="preserve">N polymorpha</t>
  </si>
  <si>
    <t xml:space="preserve">Berekende ADV van de quagga- en driehoeksmosselen op de monsterlocaties</t>
  </si>
  <si>
    <t xml:space="preserve">Nieuwe methode (in schelp)</t>
  </si>
  <si>
    <t xml:space="preserve">Berekend ADV bugensis (mg/m2)</t>
  </si>
  <si>
    <t xml:space="preserve">Berekend ADV polymorpha (mg/m2)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</si>
</sst>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@"/>
    <numFmt numFmtId="167" formatCode="0"/>
    <numFmt numFmtId="168" formatCode="0.00%"/>
    <numFmt numFmtId="169" formatCode="0.0%"/>
    <numFmt numFmtId="170" formatCode="0.00"/>
    <numFmt numFmtId="171" formatCode="0.0"/>
    <numFmt numFmtId="172" formatCode="0.0000"/>
  </numFmts>
  <fonts count="6">
    <font>
      <sz val="10"/>
      <color theme="1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 Light"/>
      <family val="2"/>
      <charset val="1"/>
    </font>
    <font>
      <b val="true"/>
      <sz val="10"/>
      <color theme="1"/>
      <name val="Calibri Ligh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BDD7EE"/>
      </patternFill>
    </fill>
    <fill>
      <patternFill patternType="solid">
        <fgColor theme="8" tint="0.5999"/>
        <bgColor rgb="FFB4C7E7"/>
      </patternFill>
    </fill>
    <fill>
      <patternFill patternType="solid">
        <fgColor theme="8" tint="0.7999"/>
        <bgColor rgb="FFCCFFFF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a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26.29"/>
    <col collapsed="false" customWidth="true" hidden="false" outlineLevel="0" max="4" min="4" style="1" width="23.14"/>
    <col collapsed="false" customWidth="true" hidden="false" outlineLevel="0" max="5" min="5" style="1" width="74.28"/>
    <col collapsed="false" customWidth="true" hidden="false" outlineLevel="0" max="6" min="6" style="1" width="10.72"/>
    <col collapsed="false" customWidth="true" hidden="false" outlineLevel="0" max="7" min="7" style="1" width="9.29"/>
    <col collapsed="false" customWidth="true" hidden="false" outlineLevel="0" max="9" min="9" style="1" width="24.43"/>
  </cols>
  <sheetData>
    <row r="1" customFormat="false" ht="12.75" hidden="false" customHeight="false" outlineLevel="0" collapsed="false">
      <c r="A1" s="1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6" customFormat="false" ht="12.75" hidden="false" customHeight="false" outlineLevel="0" collapsed="false">
      <c r="A6" s="2" t="s">
        <v>3</v>
      </c>
      <c r="B6" s="2"/>
    </row>
    <row r="7" customFormat="false" ht="12.75" hidden="false" customHeight="false" outlineLevel="0" collapsed="false">
      <c r="A7" s="3" t="s">
        <v>4</v>
      </c>
      <c r="B7" s="4"/>
    </row>
    <row r="8" customFormat="false" ht="12.75" hidden="false" customHeight="false" outlineLevel="0" collapsed="false">
      <c r="A8" s="3" t="s">
        <v>5</v>
      </c>
      <c r="B8" s="4"/>
    </row>
    <row r="10" customFormat="false" ht="12.75" hidden="false" customHeight="false" outlineLevel="0" collapsed="false">
      <c r="A10" s="5" t="s">
        <v>6</v>
      </c>
      <c r="B10" s="6"/>
      <c r="D10" s="5" t="s">
        <v>7</v>
      </c>
      <c r="E10" s="6"/>
      <c r="F10" s="6"/>
      <c r="H10" s="5" t="s">
        <v>8</v>
      </c>
      <c r="I10" s="6"/>
    </row>
    <row r="11" customFormat="false" ht="12.75" hidden="false" customHeight="false" outlineLevel="0" collapsed="false">
      <c r="A11" s="6" t="s">
        <v>9</v>
      </c>
      <c r="B11" s="6" t="s">
        <v>10</v>
      </c>
      <c r="D11" s="5" t="s">
        <v>11</v>
      </c>
      <c r="E11" s="5" t="s">
        <v>12</v>
      </c>
      <c r="F11" s="5" t="s">
        <v>13</v>
      </c>
      <c r="H11" s="6" t="s">
        <v>14</v>
      </c>
      <c r="I11" s="6" t="s">
        <v>15</v>
      </c>
    </row>
    <row r="12" customFormat="false" ht="12.75" hidden="false" customHeight="false" outlineLevel="0" collapsed="false">
      <c r="A12" s="6" t="s">
        <v>16</v>
      </c>
      <c r="B12" s="6" t="s">
        <v>17</v>
      </c>
      <c r="D12" s="6" t="s">
        <v>18</v>
      </c>
      <c r="E12" s="6" t="s">
        <v>19</v>
      </c>
      <c r="F12" s="6" t="s">
        <v>20</v>
      </c>
      <c r="H12" s="6" t="s">
        <v>21</v>
      </c>
      <c r="I12" s="6" t="s">
        <v>22</v>
      </c>
    </row>
    <row r="13" customFormat="false" ht="12.75" hidden="false" customHeight="false" outlineLevel="0" collapsed="false">
      <c r="A13" s="6" t="s">
        <v>23</v>
      </c>
      <c r="B13" s="6" t="s">
        <v>24</v>
      </c>
      <c r="D13" s="6" t="s">
        <v>25</v>
      </c>
      <c r="E13" s="6" t="s">
        <v>26</v>
      </c>
      <c r="F13" s="6" t="s">
        <v>27</v>
      </c>
      <c r="H13" s="6" t="s">
        <v>28</v>
      </c>
      <c r="I13" s="6" t="s">
        <v>29</v>
      </c>
    </row>
    <row r="14" customFormat="false" ht="12.75" hidden="false" customHeight="false" outlineLevel="0" collapsed="false">
      <c r="A14" s="6" t="s">
        <v>30</v>
      </c>
      <c r="B14" s="6" t="s">
        <v>31</v>
      </c>
      <c r="D14" s="6" t="s">
        <v>32</v>
      </c>
      <c r="E14" s="6" t="s">
        <v>33</v>
      </c>
      <c r="F14" s="6" t="s">
        <v>34</v>
      </c>
      <c r="H14" s="6" t="s">
        <v>16</v>
      </c>
      <c r="I14" s="6" t="s">
        <v>35</v>
      </c>
    </row>
    <row r="15" customFormat="false" ht="12.75" hidden="false" customHeight="false" outlineLevel="0" collapsed="false">
      <c r="A15" s="6" t="s">
        <v>36</v>
      </c>
      <c r="B15" s="6" t="s">
        <v>37</v>
      </c>
      <c r="D15" s="6" t="s">
        <v>38</v>
      </c>
      <c r="E15" s="6" t="s">
        <v>39</v>
      </c>
      <c r="F15" s="6" t="s">
        <v>40</v>
      </c>
      <c r="H15" s="6" t="s">
        <v>41</v>
      </c>
      <c r="I15" s="6" t="s">
        <v>42</v>
      </c>
    </row>
    <row r="16" customFormat="false" ht="12.75" hidden="false" customHeight="false" outlineLevel="0" collapsed="false">
      <c r="A16" s="6" t="s">
        <v>43</v>
      </c>
      <c r="B16" s="6" t="s">
        <v>44</v>
      </c>
      <c r="D16" s="6" t="s">
        <v>45</v>
      </c>
      <c r="E16" s="6" t="s">
        <v>46</v>
      </c>
      <c r="F16" s="6" t="s">
        <v>47</v>
      </c>
      <c r="H16" s="6" t="s">
        <v>48</v>
      </c>
      <c r="I16" s="6" t="s">
        <v>49</v>
      </c>
    </row>
    <row r="17" customFormat="false" ht="12.75" hidden="false" customHeight="false" outlineLevel="0" collapsed="false">
      <c r="A17" s="6" t="s">
        <v>50</v>
      </c>
      <c r="B17" s="6" t="s">
        <v>51</v>
      </c>
      <c r="D17" s="6" t="s">
        <v>52</v>
      </c>
      <c r="E17" s="6" t="s">
        <v>53</v>
      </c>
      <c r="F17" s="6" t="s">
        <v>54</v>
      </c>
      <c r="H17" s="6"/>
      <c r="I17" s="6" t="s">
        <v>55</v>
      </c>
    </row>
    <row r="18" customFormat="false" ht="12.75" hidden="false" customHeight="false" outlineLevel="0" collapsed="false">
      <c r="A18" s="6" t="s">
        <v>56</v>
      </c>
      <c r="B18" s="6" t="s">
        <v>57</v>
      </c>
      <c r="D18" s="6" t="s">
        <v>58</v>
      </c>
      <c r="E18" s="6" t="s">
        <v>59</v>
      </c>
      <c r="F18" s="6" t="s">
        <v>60</v>
      </c>
    </row>
    <row r="19" customFormat="false" ht="12.75" hidden="false" customHeight="false" outlineLevel="0" collapsed="false">
      <c r="A19" s="6" t="s">
        <v>61</v>
      </c>
      <c r="B19" s="6" t="s">
        <v>62</v>
      </c>
      <c r="D19" s="6" t="s">
        <v>63</v>
      </c>
      <c r="E19" s="6" t="s">
        <v>64</v>
      </c>
      <c r="F19" s="6" t="s">
        <v>65</v>
      </c>
    </row>
  </sheetData>
  <mergeCells count="1">
    <mergeCell ref="A6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A6" activeCellId="0" sqref="AA6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7" width="10.72"/>
    <col collapsed="false" customWidth="true" hidden="false" outlineLevel="0" max="3" min="2" style="7" width="8.85"/>
    <col collapsed="false" customWidth="true" hidden="false" outlineLevel="0" max="4" min="4" style="7" width="11.43"/>
    <col collapsed="false" customWidth="true" hidden="false" outlineLevel="0" max="5" min="5" style="7" width="8.85"/>
    <col collapsed="false" customWidth="true" hidden="false" outlineLevel="0" max="6" min="6" style="7" width="14"/>
    <col collapsed="false" customWidth="true" hidden="false" outlineLevel="0" max="7" min="7" style="7" width="21.71"/>
    <col collapsed="false" customWidth="true" hidden="false" outlineLevel="0" max="8" min="8" style="7" width="14.29"/>
    <col collapsed="false" customWidth="true" hidden="false" outlineLevel="0" max="9" min="9" style="7" width="14.14"/>
    <col collapsed="false" customWidth="true" hidden="false" outlineLevel="0" max="10" min="10" style="7" width="12.14"/>
    <col collapsed="false" customWidth="true" hidden="false" outlineLevel="0" max="13" min="11" style="7" width="9.14"/>
    <col collapsed="false" customWidth="true" hidden="false" outlineLevel="0" max="27" min="14" style="7" width="8.85"/>
    <col collapsed="false" customWidth="true" hidden="false" outlineLevel="0" max="28" min="28" style="7" width="9.58"/>
    <col collapsed="false" customWidth="true" hidden="false" outlineLevel="0" max="29" min="29" style="7" width="15.58"/>
    <col collapsed="false" customWidth="true" hidden="false" outlineLevel="0" max="30" min="30" style="8" width="24.29"/>
    <col collapsed="false" customWidth="true" hidden="false" outlineLevel="0" max="31" min="31" style="7" width="24.14"/>
  </cols>
  <sheetData>
    <row r="1" customFormat="false" ht="12.75" hidden="false" customHeight="false" outlineLevel="0" collapsed="false">
      <c r="A1" s="9"/>
      <c r="B1" s="10"/>
      <c r="C1" s="6" t="s">
        <v>66</v>
      </c>
      <c r="D1" s="11"/>
      <c r="E1" s="6" t="s">
        <v>67</v>
      </c>
      <c r="F1" s="11"/>
      <c r="G1" s="11"/>
      <c r="H1" s="11"/>
      <c r="I1" s="9" t="s">
        <v>68</v>
      </c>
      <c r="J1" s="12"/>
      <c r="K1" s="10"/>
      <c r="L1" s="9" t="s">
        <v>69</v>
      </c>
      <c r="M1" s="13"/>
      <c r="N1" s="14" t="s">
        <v>70</v>
      </c>
      <c r="O1" s="15"/>
      <c r="P1" s="15"/>
      <c r="Q1" s="16"/>
      <c r="R1" s="17"/>
      <c r="S1" s="18" t="s">
        <v>71</v>
      </c>
      <c r="T1" s="15"/>
      <c r="U1" s="16"/>
      <c r="V1" s="19"/>
      <c r="W1" s="17"/>
      <c r="X1" s="18" t="s">
        <v>72</v>
      </c>
      <c r="Y1" s="15"/>
      <c r="Z1" s="16"/>
      <c r="AA1" s="19"/>
      <c r="AB1" s="17"/>
      <c r="AC1" s="17"/>
      <c r="AD1" s="20"/>
      <c r="AE1" s="11"/>
    </row>
    <row r="2" customFormat="false" ht="12.75" hidden="false" customHeight="false" outlineLevel="0" collapsed="false">
      <c r="A2" s="21" t="s">
        <v>73</v>
      </c>
      <c r="B2" s="21" t="s">
        <v>74</v>
      </c>
      <c r="C2" s="21" t="s">
        <v>75</v>
      </c>
      <c r="D2" s="21" t="s">
        <v>76</v>
      </c>
      <c r="E2" s="21" t="s">
        <v>75</v>
      </c>
      <c r="F2" s="21" t="s">
        <v>76</v>
      </c>
      <c r="G2" s="21" t="s">
        <v>77</v>
      </c>
      <c r="H2" s="21" t="s">
        <v>78</v>
      </c>
      <c r="I2" s="21" t="s">
        <v>79</v>
      </c>
      <c r="J2" s="21" t="s">
        <v>80</v>
      </c>
      <c r="K2" s="21" t="s">
        <v>81</v>
      </c>
      <c r="L2" s="21" t="s">
        <v>82</v>
      </c>
      <c r="M2" s="22" t="s">
        <v>29</v>
      </c>
      <c r="N2" s="21" t="n">
        <v>1</v>
      </c>
      <c r="O2" s="21" t="n">
        <v>2</v>
      </c>
      <c r="P2" s="21" t="n">
        <v>3</v>
      </c>
      <c r="Q2" s="21" t="n">
        <v>4</v>
      </c>
      <c r="R2" s="21" t="n">
        <v>5</v>
      </c>
      <c r="S2" s="21" t="n">
        <v>1</v>
      </c>
      <c r="T2" s="21" t="n">
        <v>2</v>
      </c>
      <c r="U2" s="21" t="n">
        <v>3</v>
      </c>
      <c r="V2" s="21" t="n">
        <v>4</v>
      </c>
      <c r="W2" s="21" t="n">
        <v>5</v>
      </c>
      <c r="X2" s="21" t="n">
        <v>1</v>
      </c>
      <c r="Y2" s="21" t="n">
        <v>2</v>
      </c>
      <c r="Z2" s="21" t="n">
        <v>3</v>
      </c>
      <c r="AA2" s="21" t="n">
        <v>4</v>
      </c>
      <c r="AB2" s="21" t="n">
        <v>5</v>
      </c>
      <c r="AC2" s="21" t="s">
        <v>83</v>
      </c>
      <c r="AD2" s="21" t="s">
        <v>84</v>
      </c>
      <c r="AE2" s="21" t="s">
        <v>85</v>
      </c>
    </row>
    <row r="3" customFormat="false" ht="12.75" hidden="false" customHeight="false" outlineLevel="0" collapsed="false">
      <c r="A3" s="15" t="s">
        <v>86</v>
      </c>
      <c r="B3" s="15" t="s">
        <v>87</v>
      </c>
      <c r="C3" s="15" t="n">
        <v>189000</v>
      </c>
      <c r="D3" s="15" t="n">
        <v>515100</v>
      </c>
      <c r="E3" s="15" t="n">
        <v>189000.4</v>
      </c>
      <c r="F3" s="15" t="n">
        <v>515099.2</v>
      </c>
      <c r="G3" s="23" t="n">
        <v>45216.349375</v>
      </c>
      <c r="H3" s="15" t="n">
        <v>3.7</v>
      </c>
      <c r="I3" s="15" t="n">
        <v>0</v>
      </c>
      <c r="J3" s="11" t="n">
        <v>115</v>
      </c>
      <c r="K3" s="11" t="n">
        <v>0</v>
      </c>
      <c r="L3" s="11" t="n">
        <v>0</v>
      </c>
      <c r="M3" s="11" t="n">
        <v>0</v>
      </c>
      <c r="N3" s="15" t="s">
        <v>88</v>
      </c>
      <c r="O3" s="15" t="s">
        <v>88</v>
      </c>
      <c r="P3" s="15" t="s">
        <v>88</v>
      </c>
      <c r="Q3" s="15" t="s">
        <v>88</v>
      </c>
      <c r="R3" s="15" t="s">
        <v>88</v>
      </c>
      <c r="S3" s="15" t="s">
        <v>89</v>
      </c>
      <c r="T3" s="15" t="s">
        <v>89</v>
      </c>
      <c r="U3" s="15" t="s">
        <v>89</v>
      </c>
      <c r="V3" s="15" t="s">
        <v>89</v>
      </c>
      <c r="W3" s="15" t="s">
        <v>89</v>
      </c>
      <c r="X3" s="15" t="s">
        <v>90</v>
      </c>
      <c r="Y3" s="15" t="s">
        <v>91</v>
      </c>
      <c r="Z3" s="15" t="s">
        <v>90</v>
      </c>
      <c r="AA3" s="15" t="s">
        <v>90</v>
      </c>
      <c r="AB3" s="15" t="s">
        <v>91</v>
      </c>
      <c r="AC3" s="24"/>
      <c r="AD3" s="18" t="s">
        <v>92</v>
      </c>
      <c r="AE3" s="25"/>
    </row>
    <row r="4" customFormat="false" ht="12.75" hidden="false" customHeight="false" outlineLevel="0" collapsed="false">
      <c r="A4" s="11" t="s">
        <v>86</v>
      </c>
      <c r="B4" s="11" t="s">
        <v>93</v>
      </c>
      <c r="C4" s="11" t="n">
        <v>190000</v>
      </c>
      <c r="D4" s="11" t="n">
        <v>515400</v>
      </c>
      <c r="E4" s="11" t="n">
        <v>190003</v>
      </c>
      <c r="F4" s="11" t="n">
        <v>515403.8</v>
      </c>
      <c r="G4" s="23" t="n">
        <v>45216.5888310185</v>
      </c>
      <c r="H4" s="11" t="n">
        <v>3.1</v>
      </c>
      <c r="I4" s="11" t="n">
        <v>2</v>
      </c>
      <c r="J4" s="11" t="n">
        <v>195</v>
      </c>
      <c r="K4" s="11" t="n">
        <v>0</v>
      </c>
      <c r="L4" s="11" t="n">
        <v>0</v>
      </c>
      <c r="M4" s="11" t="n">
        <v>0</v>
      </c>
      <c r="N4" s="11" t="s">
        <v>94</v>
      </c>
      <c r="O4" s="11" t="s">
        <v>94</v>
      </c>
      <c r="P4" s="11" t="s">
        <v>94</v>
      </c>
      <c r="Q4" s="11" t="s">
        <v>94</v>
      </c>
      <c r="R4" s="11" t="s">
        <v>94</v>
      </c>
      <c r="S4" s="11" t="s">
        <v>89</v>
      </c>
      <c r="T4" s="11" t="s">
        <v>89</v>
      </c>
      <c r="U4" s="11" t="s">
        <v>89</v>
      </c>
      <c r="V4" s="11" t="s">
        <v>89</v>
      </c>
      <c r="W4" s="11" t="s">
        <v>89</v>
      </c>
      <c r="X4" s="11" t="s">
        <v>91</v>
      </c>
      <c r="Y4" s="11" t="s">
        <v>90</v>
      </c>
      <c r="Z4" s="11" t="s">
        <v>91</v>
      </c>
      <c r="AA4" s="11" t="s">
        <v>91</v>
      </c>
      <c r="AB4" s="11" t="s">
        <v>91</v>
      </c>
      <c r="AC4" s="11" t="s">
        <v>95</v>
      </c>
      <c r="AD4" s="20" t="s">
        <v>92</v>
      </c>
      <c r="AE4" s="20"/>
    </row>
    <row r="5" customFormat="false" ht="12.75" hidden="false" customHeight="false" outlineLevel="0" collapsed="false">
      <c r="A5" s="11" t="s">
        <v>86</v>
      </c>
      <c r="B5" s="11" t="s">
        <v>96</v>
      </c>
      <c r="C5" s="11" t="n">
        <v>190000</v>
      </c>
      <c r="D5" s="11" t="n">
        <v>514800</v>
      </c>
      <c r="E5" s="11" t="n">
        <v>190001.6</v>
      </c>
      <c r="F5" s="11" t="n">
        <v>514802.6</v>
      </c>
      <c r="G5" s="23" t="n">
        <v>45216.3635648148</v>
      </c>
      <c r="H5" s="11" t="n">
        <v>0.3</v>
      </c>
      <c r="I5" s="11" t="n">
        <v>0</v>
      </c>
      <c r="J5" s="11" t="n">
        <v>0.4</v>
      </c>
      <c r="K5" s="11" t="n">
        <v>0</v>
      </c>
      <c r="L5" s="11" t="n">
        <v>0</v>
      </c>
      <c r="M5" s="11" t="n">
        <v>1</v>
      </c>
      <c r="N5" s="11" t="s">
        <v>94</v>
      </c>
      <c r="O5" s="11" t="s">
        <v>94</v>
      </c>
      <c r="P5" s="11" t="s">
        <v>94</v>
      </c>
      <c r="Q5" s="11" t="s">
        <v>94</v>
      </c>
      <c r="R5" s="11" t="s">
        <v>94</v>
      </c>
      <c r="S5" s="11" t="s">
        <v>97</v>
      </c>
      <c r="T5" s="11" t="s">
        <v>97</v>
      </c>
      <c r="U5" s="11" t="s">
        <v>97</v>
      </c>
      <c r="V5" s="11" t="s">
        <v>97</v>
      </c>
      <c r="W5" s="11" t="s">
        <v>97</v>
      </c>
      <c r="X5" s="11" t="s">
        <v>90</v>
      </c>
      <c r="Y5" s="11" t="s">
        <v>90</v>
      </c>
      <c r="Z5" s="11" t="s">
        <v>90</v>
      </c>
      <c r="AA5" s="11" t="s">
        <v>90</v>
      </c>
      <c r="AB5" s="11" t="s">
        <v>98</v>
      </c>
      <c r="AC5" s="11"/>
      <c r="AD5" s="20" t="s">
        <v>92</v>
      </c>
      <c r="AE5" s="20"/>
    </row>
    <row r="6" customFormat="false" ht="12.75" hidden="false" customHeight="false" outlineLevel="0" collapsed="false">
      <c r="A6" s="11" t="s">
        <v>86</v>
      </c>
      <c r="B6" s="11" t="s">
        <v>99</v>
      </c>
      <c r="C6" s="11" t="n">
        <v>191000</v>
      </c>
      <c r="D6" s="11" t="n">
        <v>515750</v>
      </c>
      <c r="E6" s="11" t="n">
        <v>191000.2</v>
      </c>
      <c r="F6" s="11" t="n">
        <v>515746.8</v>
      </c>
      <c r="G6" s="23" t="n">
        <v>45216.5775578704</v>
      </c>
      <c r="H6" s="11" t="n">
        <v>3.7</v>
      </c>
      <c r="I6" s="11" t="n">
        <v>0</v>
      </c>
      <c r="J6" s="11" t="n">
        <v>60</v>
      </c>
      <c r="K6" s="11" t="n">
        <v>0</v>
      </c>
      <c r="L6" s="11" t="n">
        <v>0</v>
      </c>
      <c r="M6" s="11" t="n">
        <v>0</v>
      </c>
      <c r="N6" s="11" t="s">
        <v>94</v>
      </c>
      <c r="O6" s="11" t="s">
        <v>94</v>
      </c>
      <c r="P6" s="11" t="s">
        <v>100</v>
      </c>
      <c r="Q6" s="11" t="s">
        <v>94</v>
      </c>
      <c r="R6" s="11" t="s">
        <v>94</v>
      </c>
      <c r="S6" s="11" t="s">
        <v>89</v>
      </c>
      <c r="T6" s="11" t="s">
        <v>89</v>
      </c>
      <c r="U6" s="11" t="s">
        <v>101</v>
      </c>
      <c r="V6" s="11" t="s">
        <v>89</v>
      </c>
      <c r="W6" s="11" t="s">
        <v>89</v>
      </c>
      <c r="X6" s="11" t="s">
        <v>91</v>
      </c>
      <c r="Y6" s="11" t="s">
        <v>90</v>
      </c>
      <c r="Z6" s="11" t="s">
        <v>90</v>
      </c>
      <c r="AA6" s="11" t="s">
        <v>90</v>
      </c>
      <c r="AB6" s="11" t="s">
        <v>90</v>
      </c>
      <c r="AC6" s="11"/>
      <c r="AD6" s="20" t="s">
        <v>92</v>
      </c>
      <c r="AE6" s="20"/>
    </row>
    <row r="7" customFormat="false" ht="12.75" hidden="false" customHeight="false" outlineLevel="0" collapsed="false">
      <c r="A7" s="11" t="s">
        <v>86</v>
      </c>
      <c r="B7" s="11" t="s">
        <v>102</v>
      </c>
      <c r="C7" s="11" t="n">
        <v>191000</v>
      </c>
      <c r="D7" s="11" t="n">
        <v>515100</v>
      </c>
      <c r="E7" s="11" t="n">
        <v>191002.4</v>
      </c>
      <c r="F7" s="11" t="n">
        <v>515102.1</v>
      </c>
      <c r="G7" s="23" t="n">
        <v>45216.3875347222</v>
      </c>
      <c r="H7" s="11" t="n">
        <v>1.5</v>
      </c>
      <c r="I7" s="11" t="n">
        <v>0</v>
      </c>
      <c r="J7" s="11" t="n">
        <v>3.75</v>
      </c>
      <c r="K7" s="11" t="n">
        <v>0</v>
      </c>
      <c r="L7" s="11" t="n">
        <v>0</v>
      </c>
      <c r="M7" s="11" t="n">
        <v>0</v>
      </c>
      <c r="N7" s="11" t="s">
        <v>103</v>
      </c>
      <c r="O7" s="11" t="s">
        <v>103</v>
      </c>
      <c r="P7" s="11" t="s">
        <v>103</v>
      </c>
      <c r="Q7" s="11" t="s">
        <v>103</v>
      </c>
      <c r="R7" s="11" t="s">
        <v>103</v>
      </c>
      <c r="S7" s="11" t="s">
        <v>104</v>
      </c>
      <c r="T7" s="11" t="s">
        <v>104</v>
      </c>
      <c r="U7" s="11" t="s">
        <v>104</v>
      </c>
      <c r="V7" s="11" t="s">
        <v>104</v>
      </c>
      <c r="W7" s="11" t="s">
        <v>104</v>
      </c>
      <c r="X7" s="11" t="s">
        <v>90</v>
      </c>
      <c r="Y7" s="11" t="s">
        <v>91</v>
      </c>
      <c r="Z7" s="11" t="s">
        <v>90</v>
      </c>
      <c r="AA7" s="11" t="s">
        <v>90</v>
      </c>
      <c r="AB7" s="11" t="s">
        <v>90</v>
      </c>
      <c r="AC7" s="11"/>
      <c r="AD7" s="20" t="s">
        <v>92</v>
      </c>
      <c r="AE7" s="20"/>
    </row>
    <row r="8" customFormat="false" ht="12.75" hidden="false" customHeight="false" outlineLevel="0" collapsed="false">
      <c r="A8" s="11" t="s">
        <v>86</v>
      </c>
      <c r="B8" s="11" t="s">
        <v>105</v>
      </c>
      <c r="C8" s="11" t="n">
        <v>191000</v>
      </c>
      <c r="D8" s="11" t="n">
        <v>514450</v>
      </c>
      <c r="E8" s="11" t="n">
        <v>190997.8</v>
      </c>
      <c r="F8" s="11" t="n">
        <v>514449.5</v>
      </c>
      <c r="G8" s="23" t="n">
        <v>45216.3783449074</v>
      </c>
      <c r="H8" s="11" t="n">
        <v>0.3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s">
        <v>103</v>
      </c>
      <c r="O8" s="11" t="s">
        <v>103</v>
      </c>
      <c r="P8" s="11" t="s">
        <v>103</v>
      </c>
      <c r="Q8" s="9" t="s">
        <v>103</v>
      </c>
      <c r="R8" s="11" t="s">
        <v>103</v>
      </c>
      <c r="S8" s="11" t="s">
        <v>104</v>
      </c>
      <c r="T8" s="11" t="s">
        <v>104</v>
      </c>
      <c r="U8" s="11" t="s">
        <v>104</v>
      </c>
      <c r="V8" s="11" t="s">
        <v>104</v>
      </c>
      <c r="W8" s="11" t="s">
        <v>104</v>
      </c>
      <c r="X8" s="11" t="s">
        <v>90</v>
      </c>
      <c r="Y8" s="11" t="s">
        <v>90</v>
      </c>
      <c r="Z8" s="11" t="s">
        <v>90</v>
      </c>
      <c r="AA8" s="11" t="s">
        <v>90</v>
      </c>
      <c r="AB8" s="11" t="s">
        <v>90</v>
      </c>
      <c r="AC8" s="11"/>
      <c r="AD8" s="20" t="s">
        <v>92</v>
      </c>
      <c r="AE8" s="20"/>
    </row>
    <row r="9" customFormat="false" ht="12.75" hidden="false" customHeight="false" outlineLevel="0" collapsed="false">
      <c r="A9" s="11" t="s">
        <v>86</v>
      </c>
      <c r="B9" s="11" t="s">
        <v>106</v>
      </c>
      <c r="C9" s="11" t="n">
        <v>192000</v>
      </c>
      <c r="D9" s="11" t="n">
        <v>516150</v>
      </c>
      <c r="E9" s="11" t="n">
        <v>192002.5</v>
      </c>
      <c r="F9" s="11" t="n">
        <v>516146.4</v>
      </c>
      <c r="G9" s="23" t="n">
        <v>45216.5664351852</v>
      </c>
      <c r="H9" s="11" t="n">
        <v>4</v>
      </c>
      <c r="I9" s="11" t="n">
        <v>0</v>
      </c>
      <c r="J9" s="11" t="n">
        <v>1.75</v>
      </c>
      <c r="K9" s="11" t="n">
        <v>0</v>
      </c>
      <c r="L9" s="11" t="n">
        <v>0</v>
      </c>
      <c r="M9" s="11" t="n">
        <v>0</v>
      </c>
      <c r="N9" s="11" t="s">
        <v>88</v>
      </c>
      <c r="O9" s="11" t="s">
        <v>107</v>
      </c>
      <c r="P9" s="11" t="s">
        <v>108</v>
      </c>
      <c r="Q9" s="9" t="s">
        <v>108</v>
      </c>
      <c r="R9" s="11" t="s">
        <v>100</v>
      </c>
      <c r="S9" s="11" t="s">
        <v>109</v>
      </c>
      <c r="T9" s="11" t="s">
        <v>110</v>
      </c>
      <c r="U9" s="11" t="s">
        <v>110</v>
      </c>
      <c r="V9" s="11" t="s">
        <v>110</v>
      </c>
      <c r="W9" s="11" t="s">
        <v>89</v>
      </c>
      <c r="X9" s="11" t="s">
        <v>90</v>
      </c>
      <c r="Y9" s="11" t="s">
        <v>90</v>
      </c>
      <c r="Z9" s="11" t="s">
        <v>90</v>
      </c>
      <c r="AA9" s="11" t="s">
        <v>90</v>
      </c>
      <c r="AB9" s="11" t="s">
        <v>90</v>
      </c>
      <c r="AC9" s="11"/>
      <c r="AD9" s="20" t="s">
        <v>92</v>
      </c>
      <c r="AE9" s="20"/>
    </row>
    <row r="10" customFormat="false" ht="12.75" hidden="false" customHeight="false" outlineLevel="0" collapsed="false">
      <c r="A10" s="11" t="s">
        <v>86</v>
      </c>
      <c r="B10" s="11" t="s">
        <v>111</v>
      </c>
      <c r="C10" s="11" t="n">
        <v>192000</v>
      </c>
      <c r="D10" s="11" t="n">
        <v>515450</v>
      </c>
      <c r="E10" s="11" t="n">
        <v>192000.1</v>
      </c>
      <c r="F10" s="11" t="n">
        <v>515448.7</v>
      </c>
      <c r="G10" s="23" t="n">
        <v>45216.4055208333</v>
      </c>
      <c r="H10" s="11" t="n">
        <v>2</v>
      </c>
      <c r="I10" s="11" t="n">
        <v>1</v>
      </c>
      <c r="J10" s="11" t="n">
        <v>16.5</v>
      </c>
      <c r="K10" s="11" t="n">
        <v>0</v>
      </c>
      <c r="L10" s="11" t="n">
        <v>0</v>
      </c>
      <c r="M10" s="11" t="n">
        <v>1</v>
      </c>
      <c r="N10" s="11" t="s">
        <v>108</v>
      </c>
      <c r="O10" s="11" t="s">
        <v>108</v>
      </c>
      <c r="P10" s="11" t="s">
        <v>108</v>
      </c>
      <c r="Q10" s="9" t="s">
        <v>108</v>
      </c>
      <c r="R10" s="11" t="s">
        <v>108</v>
      </c>
      <c r="S10" s="11" t="s">
        <v>110</v>
      </c>
      <c r="T10" s="11" t="s">
        <v>110</v>
      </c>
      <c r="U10" s="11" t="s">
        <v>110</v>
      </c>
      <c r="V10" s="11" t="s">
        <v>110</v>
      </c>
      <c r="W10" s="11" t="s">
        <v>110</v>
      </c>
      <c r="X10" s="11" t="s">
        <v>91</v>
      </c>
      <c r="Y10" s="11" t="s">
        <v>112</v>
      </c>
      <c r="Z10" s="11" t="s">
        <v>113</v>
      </c>
      <c r="AA10" s="11" t="s">
        <v>91</v>
      </c>
      <c r="AB10" s="11" t="s">
        <v>91</v>
      </c>
      <c r="AC10" s="11" t="s">
        <v>95</v>
      </c>
      <c r="AD10" s="20" t="s">
        <v>92</v>
      </c>
      <c r="AE10" s="20"/>
    </row>
    <row r="11" customFormat="false" ht="12.75" hidden="false" customHeight="false" outlineLevel="0" collapsed="false">
      <c r="A11" s="11" t="s">
        <v>86</v>
      </c>
      <c r="B11" s="11" t="s">
        <v>114</v>
      </c>
      <c r="C11" s="11" t="n">
        <v>192000</v>
      </c>
      <c r="D11" s="11" t="n">
        <v>514700</v>
      </c>
      <c r="E11" s="11" t="n">
        <v>191998.8</v>
      </c>
      <c r="F11" s="11" t="n">
        <v>514701.3</v>
      </c>
      <c r="G11" s="23" t="n">
        <v>45216.3975</v>
      </c>
      <c r="H11" s="11" t="n">
        <v>0.3</v>
      </c>
      <c r="I11" s="11" t="n">
        <v>0</v>
      </c>
      <c r="J11" s="11" t="n">
        <v>0.3</v>
      </c>
      <c r="K11" s="11" t="n">
        <v>0</v>
      </c>
      <c r="L11" s="11" t="n">
        <v>0</v>
      </c>
      <c r="M11" s="11" t="n">
        <v>8</v>
      </c>
      <c r="N11" s="11" t="s">
        <v>108</v>
      </c>
      <c r="O11" s="11" t="s">
        <v>108</v>
      </c>
      <c r="P11" s="11" t="s">
        <v>108</v>
      </c>
      <c r="Q11" s="9" t="s">
        <v>108</v>
      </c>
      <c r="R11" s="11" t="s">
        <v>108</v>
      </c>
      <c r="S11" s="11" t="s">
        <v>110</v>
      </c>
      <c r="T11" s="11" t="s">
        <v>110</v>
      </c>
      <c r="U11" s="11" t="s">
        <v>110</v>
      </c>
      <c r="V11" s="11" t="s">
        <v>110</v>
      </c>
      <c r="W11" s="11" t="s">
        <v>110</v>
      </c>
      <c r="X11" s="11" t="s">
        <v>90</v>
      </c>
      <c r="Y11" s="11" t="s">
        <v>90</v>
      </c>
      <c r="Z11" s="11" t="s">
        <v>90</v>
      </c>
      <c r="AA11" s="11" t="s">
        <v>90</v>
      </c>
      <c r="AB11" s="11" t="s">
        <v>90</v>
      </c>
      <c r="AC11" s="11"/>
      <c r="AD11" s="20" t="s">
        <v>92</v>
      </c>
      <c r="AE11" s="20"/>
    </row>
    <row r="12" customFormat="false" ht="12.75" hidden="false" customHeight="false" outlineLevel="0" collapsed="false">
      <c r="A12" s="11" t="s">
        <v>86</v>
      </c>
      <c r="B12" s="11" t="s">
        <v>115</v>
      </c>
      <c r="C12" s="11" t="n">
        <v>193000</v>
      </c>
      <c r="D12" s="11" t="n">
        <v>516400</v>
      </c>
      <c r="E12" s="11" t="n">
        <v>193001</v>
      </c>
      <c r="F12" s="11" t="n">
        <v>516400.5</v>
      </c>
      <c r="G12" s="23" t="n">
        <v>45216.555625</v>
      </c>
      <c r="H12" s="11" t="n">
        <v>2.7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s">
        <v>100</v>
      </c>
      <c r="O12" s="11" t="s">
        <v>94</v>
      </c>
      <c r="P12" s="11" t="s">
        <v>116</v>
      </c>
      <c r="Q12" s="9" t="s">
        <v>116</v>
      </c>
      <c r="R12" s="11" t="s">
        <v>116</v>
      </c>
      <c r="S12" s="11" t="s">
        <v>101</v>
      </c>
      <c r="T12" s="11" t="s">
        <v>89</v>
      </c>
      <c r="U12" s="11" t="s">
        <v>97</v>
      </c>
      <c r="V12" s="11" t="s">
        <v>97</v>
      </c>
      <c r="W12" s="11" t="s">
        <v>97</v>
      </c>
      <c r="X12" s="11" t="s">
        <v>90</v>
      </c>
      <c r="Y12" s="11" t="s">
        <v>90</v>
      </c>
      <c r="Z12" s="11" t="s">
        <v>90</v>
      </c>
      <c r="AA12" s="11" t="s">
        <v>90</v>
      </c>
      <c r="AB12" s="11" t="s">
        <v>90</v>
      </c>
      <c r="AC12" s="11"/>
      <c r="AD12" s="20" t="s">
        <v>92</v>
      </c>
      <c r="AE12" s="20"/>
    </row>
    <row r="13" customFormat="false" ht="12.75" hidden="false" customHeight="false" outlineLevel="0" collapsed="false">
      <c r="A13" s="11" t="s">
        <v>86</v>
      </c>
      <c r="B13" s="11" t="s">
        <v>117</v>
      </c>
      <c r="C13" s="11" t="n">
        <v>193000</v>
      </c>
      <c r="D13" s="11" t="n">
        <v>515800</v>
      </c>
      <c r="E13" s="11" t="n">
        <v>192999.5</v>
      </c>
      <c r="F13" s="11" t="n">
        <v>515798.1</v>
      </c>
      <c r="G13" s="23" t="n">
        <v>45216.4230439815</v>
      </c>
      <c r="H13" s="11" t="n">
        <v>1.6</v>
      </c>
      <c r="I13" s="11" t="n">
        <v>0</v>
      </c>
      <c r="J13" s="11" t="n">
        <v>10.5</v>
      </c>
      <c r="K13" s="11" t="n">
        <v>0</v>
      </c>
      <c r="L13" s="11" t="n">
        <v>0</v>
      </c>
      <c r="M13" s="11" t="n">
        <v>4</v>
      </c>
      <c r="N13" s="11" t="s">
        <v>108</v>
      </c>
      <c r="O13" s="11" t="s">
        <v>108</v>
      </c>
      <c r="P13" s="11" t="s">
        <v>108</v>
      </c>
      <c r="Q13" s="9" t="s">
        <v>108</v>
      </c>
      <c r="R13" s="11" t="s">
        <v>108</v>
      </c>
      <c r="S13" s="11" t="s">
        <v>110</v>
      </c>
      <c r="T13" s="11" t="s">
        <v>110</v>
      </c>
      <c r="U13" s="11" t="s">
        <v>110</v>
      </c>
      <c r="V13" s="11" t="s">
        <v>110</v>
      </c>
      <c r="W13" s="11" t="s">
        <v>110</v>
      </c>
      <c r="X13" s="11" t="s">
        <v>91</v>
      </c>
      <c r="Y13" s="11" t="s">
        <v>91</v>
      </c>
      <c r="Z13" s="11" t="s">
        <v>98</v>
      </c>
      <c r="AA13" s="11" t="s">
        <v>90</v>
      </c>
      <c r="AB13" s="11" t="s">
        <v>91</v>
      </c>
      <c r="AC13" s="11"/>
      <c r="AD13" s="20" t="s">
        <v>92</v>
      </c>
      <c r="AE13" s="20"/>
    </row>
    <row r="14" customFormat="false" ht="12.75" hidden="false" customHeight="false" outlineLevel="0" collapsed="false">
      <c r="A14" s="11" t="s">
        <v>86</v>
      </c>
      <c r="B14" s="11" t="s">
        <v>118</v>
      </c>
      <c r="C14" s="11" t="n">
        <v>193000</v>
      </c>
      <c r="D14" s="11" t="n">
        <v>515150</v>
      </c>
      <c r="E14" s="11" t="n">
        <v>192999.4</v>
      </c>
      <c r="F14" s="11" t="n">
        <v>515149.9</v>
      </c>
      <c r="G14" s="23" t="n">
        <v>45216.4154861111</v>
      </c>
      <c r="H14" s="11" t="n">
        <v>0.5</v>
      </c>
      <c r="I14" s="26" t="n">
        <v>0</v>
      </c>
      <c r="J14" s="11" t="n">
        <v>2</v>
      </c>
      <c r="K14" s="11" t="n">
        <v>0</v>
      </c>
      <c r="L14" s="11" t="n">
        <v>0</v>
      </c>
      <c r="M14" s="11" t="n">
        <v>25</v>
      </c>
      <c r="N14" s="11" t="s">
        <v>108</v>
      </c>
      <c r="O14" s="11" t="s">
        <v>108</v>
      </c>
      <c r="P14" s="11" t="s">
        <v>108</v>
      </c>
      <c r="Q14" s="9" t="s">
        <v>108</v>
      </c>
      <c r="R14" s="11" t="s">
        <v>108</v>
      </c>
      <c r="S14" s="11" t="s">
        <v>110</v>
      </c>
      <c r="T14" s="11" t="s">
        <v>110</v>
      </c>
      <c r="U14" s="11" t="s">
        <v>110</v>
      </c>
      <c r="V14" s="11" t="s">
        <v>110</v>
      </c>
      <c r="W14" s="11" t="s">
        <v>110</v>
      </c>
      <c r="X14" s="11" t="s">
        <v>98</v>
      </c>
      <c r="Y14" s="11" t="s">
        <v>90</v>
      </c>
      <c r="Z14" s="11" t="s">
        <v>90</v>
      </c>
      <c r="AA14" s="11" t="s">
        <v>91</v>
      </c>
      <c r="AB14" s="11" t="s">
        <v>98</v>
      </c>
      <c r="AC14" s="11"/>
      <c r="AD14" s="20" t="s">
        <v>92</v>
      </c>
      <c r="AE14" s="20"/>
    </row>
    <row r="15" customFormat="false" ht="12.75" hidden="false" customHeight="false" outlineLevel="0" collapsed="false">
      <c r="A15" s="11" t="s">
        <v>86</v>
      </c>
      <c r="B15" s="11" t="s">
        <v>119</v>
      </c>
      <c r="C15" s="11" t="n">
        <v>194000</v>
      </c>
      <c r="D15" s="11" t="n">
        <v>516750</v>
      </c>
      <c r="E15" s="11" t="n">
        <v>193998.5</v>
      </c>
      <c r="F15" s="11" t="n">
        <v>516753.1</v>
      </c>
      <c r="G15" s="23" t="n">
        <v>45216.540474537</v>
      </c>
      <c r="H15" s="9" t="n">
        <v>2.7</v>
      </c>
      <c r="I15" s="11" t="n">
        <v>0.1</v>
      </c>
      <c r="J15" s="10" t="n">
        <v>52</v>
      </c>
      <c r="K15" s="11" t="n">
        <v>0</v>
      </c>
      <c r="L15" s="11" t="n">
        <v>0</v>
      </c>
      <c r="M15" s="11" t="n">
        <v>1</v>
      </c>
      <c r="N15" s="11" t="s">
        <v>94</v>
      </c>
      <c r="O15" s="11" t="s">
        <v>94</v>
      </c>
      <c r="P15" s="11" t="s">
        <v>94</v>
      </c>
      <c r="Q15" s="9" t="s">
        <v>94</v>
      </c>
      <c r="R15" s="11" t="s">
        <v>94</v>
      </c>
      <c r="S15" s="11" t="s">
        <v>89</v>
      </c>
      <c r="T15" s="11" t="s">
        <v>89</v>
      </c>
      <c r="U15" s="11" t="s">
        <v>89</v>
      </c>
      <c r="V15" s="11" t="s">
        <v>89</v>
      </c>
      <c r="W15" s="11" t="s">
        <v>89</v>
      </c>
      <c r="X15" s="11" t="s">
        <v>91</v>
      </c>
      <c r="Y15" s="11" t="s">
        <v>90</v>
      </c>
      <c r="Z15" s="11" t="s">
        <v>90</v>
      </c>
      <c r="AA15" s="11" t="s">
        <v>90</v>
      </c>
      <c r="AB15" s="11" t="s">
        <v>91</v>
      </c>
      <c r="AC15" s="11" t="s">
        <v>95</v>
      </c>
      <c r="AD15" s="20" t="s">
        <v>92</v>
      </c>
      <c r="AE15" s="20"/>
    </row>
    <row r="16" customFormat="false" ht="12.75" hidden="false" customHeight="false" outlineLevel="0" collapsed="false">
      <c r="A16" s="11" t="s">
        <v>86</v>
      </c>
      <c r="B16" s="11" t="s">
        <v>120</v>
      </c>
      <c r="C16" s="11" t="n">
        <v>194000</v>
      </c>
      <c r="D16" s="11" t="n">
        <v>516150</v>
      </c>
      <c r="E16" s="11" t="n">
        <v>193998.5</v>
      </c>
      <c r="F16" s="11" t="n">
        <v>516152.4</v>
      </c>
      <c r="G16" s="23" t="n">
        <v>45216.4476967593</v>
      </c>
      <c r="H16" s="11" t="n">
        <v>0.7</v>
      </c>
      <c r="I16" s="15" t="n">
        <v>0</v>
      </c>
      <c r="J16" s="11" t="n">
        <v>0</v>
      </c>
      <c r="K16" s="11" t="n">
        <v>0</v>
      </c>
      <c r="L16" s="11" t="n">
        <v>0</v>
      </c>
      <c r="M16" s="11" t="n">
        <v>10</v>
      </c>
      <c r="N16" s="11" t="s">
        <v>108</v>
      </c>
      <c r="O16" s="11" t="s">
        <v>108</v>
      </c>
      <c r="P16" s="11" t="s">
        <v>108</v>
      </c>
      <c r="Q16" s="11" t="s">
        <v>108</v>
      </c>
      <c r="R16" s="11" t="s">
        <v>108</v>
      </c>
      <c r="S16" s="11" t="s">
        <v>104</v>
      </c>
      <c r="T16" s="11" t="s">
        <v>104</v>
      </c>
      <c r="U16" s="11" t="s">
        <v>104</v>
      </c>
      <c r="V16" s="11" t="s">
        <v>104</v>
      </c>
      <c r="W16" s="11" t="s">
        <v>104</v>
      </c>
      <c r="X16" s="11" t="s">
        <v>91</v>
      </c>
      <c r="Y16" s="11" t="s">
        <v>90</v>
      </c>
      <c r="Z16" s="11" t="s">
        <v>98</v>
      </c>
      <c r="AA16" s="11" t="s">
        <v>90</v>
      </c>
      <c r="AB16" s="11" t="s">
        <v>90</v>
      </c>
      <c r="AC16" s="11"/>
      <c r="AD16" s="20" t="s">
        <v>92</v>
      </c>
      <c r="AE16" s="18"/>
    </row>
    <row r="17" customFormat="false" ht="12.75" hidden="false" customHeight="false" outlineLevel="0" collapsed="false">
      <c r="A17" s="11" t="s">
        <v>86</v>
      </c>
      <c r="B17" s="11" t="s">
        <v>121</v>
      </c>
      <c r="C17" s="11" t="n">
        <v>194000</v>
      </c>
      <c r="D17" s="11" t="n">
        <v>515500</v>
      </c>
      <c r="E17" s="11" t="n">
        <v>193999.5</v>
      </c>
      <c r="F17" s="11" t="n">
        <v>515499.8</v>
      </c>
      <c r="G17" s="23" t="n">
        <v>45216.4351851852</v>
      </c>
      <c r="H17" s="11" t="n">
        <v>0.6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s">
        <v>103</v>
      </c>
      <c r="O17" s="11" t="s">
        <v>103</v>
      </c>
      <c r="P17" s="11" t="s">
        <v>103</v>
      </c>
      <c r="Q17" s="11" t="s">
        <v>103</v>
      </c>
      <c r="R17" s="11" t="s">
        <v>103</v>
      </c>
      <c r="S17" s="11" t="s">
        <v>97</v>
      </c>
      <c r="T17" s="11" t="s">
        <v>97</v>
      </c>
      <c r="U17" s="11" t="s">
        <v>97</v>
      </c>
      <c r="V17" s="11" t="s">
        <v>97</v>
      </c>
      <c r="W17" s="11" t="s">
        <v>97</v>
      </c>
      <c r="X17" s="11" t="s">
        <v>90</v>
      </c>
      <c r="Y17" s="11" t="s">
        <v>90</v>
      </c>
      <c r="Z17" s="11" t="s">
        <v>90</v>
      </c>
      <c r="AA17" s="11" t="s">
        <v>90</v>
      </c>
      <c r="AB17" s="11" t="s">
        <v>90</v>
      </c>
      <c r="AC17" s="11"/>
      <c r="AD17" s="20" t="s">
        <v>92</v>
      </c>
      <c r="AE17" s="20"/>
    </row>
    <row r="18" customFormat="false" ht="12.75" hidden="false" customHeight="false" outlineLevel="0" collapsed="false">
      <c r="A18" s="11" t="s">
        <v>86</v>
      </c>
      <c r="B18" s="11" t="s">
        <v>122</v>
      </c>
      <c r="C18" s="11" t="n">
        <v>195000</v>
      </c>
      <c r="D18" s="11" t="n">
        <v>517900</v>
      </c>
      <c r="E18" s="11" t="n">
        <v>195001.2</v>
      </c>
      <c r="F18" s="11" t="n">
        <v>517899.6</v>
      </c>
      <c r="G18" s="23" t="n">
        <v>45216.5208796296</v>
      </c>
      <c r="H18" s="11" t="n">
        <v>1.2</v>
      </c>
      <c r="I18" s="11" t="n">
        <v>0</v>
      </c>
      <c r="J18" s="11" t="n">
        <v>11.75</v>
      </c>
      <c r="K18" s="11" t="n">
        <v>0</v>
      </c>
      <c r="L18" s="11" t="n">
        <v>0</v>
      </c>
      <c r="M18" s="11" t="n">
        <v>0</v>
      </c>
      <c r="N18" s="11" t="s">
        <v>103</v>
      </c>
      <c r="O18" s="11" t="s">
        <v>108</v>
      </c>
      <c r="P18" s="11" t="s">
        <v>107</v>
      </c>
      <c r="Q18" s="11" t="s">
        <v>107</v>
      </c>
      <c r="R18" s="11" t="s">
        <v>108</v>
      </c>
      <c r="S18" s="11" t="s">
        <v>110</v>
      </c>
      <c r="T18" s="11" t="s">
        <v>110</v>
      </c>
      <c r="U18" s="11" t="s">
        <v>110</v>
      </c>
      <c r="V18" s="11" t="s">
        <v>110</v>
      </c>
      <c r="W18" s="11" t="s">
        <v>110</v>
      </c>
      <c r="X18" s="11" t="s">
        <v>90</v>
      </c>
      <c r="Y18" s="11" t="s">
        <v>91</v>
      </c>
      <c r="Z18" s="11" t="s">
        <v>90</v>
      </c>
      <c r="AA18" s="11" t="s">
        <v>123</v>
      </c>
      <c r="AB18" s="11" t="s">
        <v>90</v>
      </c>
      <c r="AC18" s="11"/>
      <c r="AD18" s="20" t="s">
        <v>92</v>
      </c>
      <c r="AE18" s="20" t="s">
        <v>124</v>
      </c>
    </row>
    <row r="19" customFormat="false" ht="12.75" hidden="false" customHeight="false" outlineLevel="0" collapsed="false">
      <c r="A19" s="11" t="s">
        <v>86</v>
      </c>
      <c r="B19" s="11" t="s">
        <v>125</v>
      </c>
      <c r="C19" s="11" t="n">
        <v>195000</v>
      </c>
      <c r="D19" s="11" t="n">
        <v>517100</v>
      </c>
      <c r="E19" s="11" t="n">
        <v>194999.5</v>
      </c>
      <c r="F19" s="11" t="n">
        <v>517098.3</v>
      </c>
      <c r="G19" s="23" t="n">
        <v>45216.5308449074</v>
      </c>
      <c r="H19" s="11" t="n">
        <v>2.6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s">
        <v>94</v>
      </c>
      <c r="O19" s="11" t="s">
        <v>94</v>
      </c>
      <c r="P19" s="11" t="s">
        <v>94</v>
      </c>
      <c r="Q19" s="11" t="s">
        <v>100</v>
      </c>
      <c r="R19" s="11" t="s">
        <v>100</v>
      </c>
      <c r="S19" s="11" t="s">
        <v>89</v>
      </c>
      <c r="T19" s="11" t="s">
        <v>89</v>
      </c>
      <c r="U19" s="11" t="s">
        <v>89</v>
      </c>
      <c r="V19" s="11" t="s">
        <v>101</v>
      </c>
      <c r="W19" s="11" t="s">
        <v>101</v>
      </c>
      <c r="X19" s="11" t="s">
        <v>90</v>
      </c>
      <c r="Y19" s="11" t="s">
        <v>90</v>
      </c>
      <c r="Z19" s="11" t="s">
        <v>90</v>
      </c>
      <c r="AA19" s="11" t="s">
        <v>90</v>
      </c>
      <c r="AB19" s="11" t="s">
        <v>90</v>
      </c>
      <c r="AC19" s="11"/>
      <c r="AD19" s="20" t="s">
        <v>92</v>
      </c>
      <c r="AE19" s="20"/>
    </row>
    <row r="20" customFormat="false" ht="12.75" hidden="false" customHeight="false" outlineLevel="0" collapsed="false">
      <c r="A20" s="11" t="s">
        <v>86</v>
      </c>
      <c r="B20" s="11" t="s">
        <v>126</v>
      </c>
      <c r="C20" s="11" t="n">
        <v>195000</v>
      </c>
      <c r="D20" s="11" t="n">
        <v>516450</v>
      </c>
      <c r="E20" s="11" t="n">
        <v>194999.8</v>
      </c>
      <c r="F20" s="11" t="n">
        <v>516449.7</v>
      </c>
      <c r="G20" s="23" t="n">
        <v>45216.4706712963</v>
      </c>
      <c r="H20" s="11" t="n">
        <v>1.5</v>
      </c>
      <c r="I20" s="11" t="n">
        <v>0</v>
      </c>
      <c r="J20" s="10" t="n">
        <v>42</v>
      </c>
      <c r="K20" s="11" t="n">
        <v>0</v>
      </c>
      <c r="L20" s="11" t="n">
        <v>0</v>
      </c>
      <c r="M20" s="11" t="n">
        <v>2</v>
      </c>
      <c r="N20" s="11" t="s">
        <v>100</v>
      </c>
      <c r="O20" s="11" t="s">
        <v>100</v>
      </c>
      <c r="P20" s="11" t="s">
        <v>100</v>
      </c>
      <c r="Q20" s="11" t="s">
        <v>103</v>
      </c>
      <c r="R20" s="11" t="s">
        <v>100</v>
      </c>
      <c r="S20" s="11" t="s">
        <v>89</v>
      </c>
      <c r="T20" s="11" t="s">
        <v>89</v>
      </c>
      <c r="U20" s="11" t="s">
        <v>89</v>
      </c>
      <c r="V20" s="11" t="s">
        <v>104</v>
      </c>
      <c r="W20" s="11" t="s">
        <v>89</v>
      </c>
      <c r="X20" s="11" t="s">
        <v>90</v>
      </c>
      <c r="Y20" s="11" t="s">
        <v>91</v>
      </c>
      <c r="Z20" s="11" t="s">
        <v>90</v>
      </c>
      <c r="AA20" s="11" t="s">
        <v>91</v>
      </c>
      <c r="AB20" s="11" t="s">
        <v>90</v>
      </c>
      <c r="AC20" s="11"/>
      <c r="AD20" s="20" t="s">
        <v>92</v>
      </c>
      <c r="AE20" s="20"/>
    </row>
    <row r="21" customFormat="false" ht="12.75" hidden="false" customHeight="false" outlineLevel="0" collapsed="false">
      <c r="A21" s="11" t="s">
        <v>86</v>
      </c>
      <c r="B21" s="11" t="s">
        <v>127</v>
      </c>
      <c r="C21" s="11" t="n">
        <v>195000</v>
      </c>
      <c r="D21" s="11" t="n">
        <v>515800</v>
      </c>
      <c r="E21" s="11" t="n">
        <v>194999.1</v>
      </c>
      <c r="F21" s="11" t="n">
        <v>515799.9</v>
      </c>
      <c r="G21" s="23" t="n">
        <v>45216.4596064815</v>
      </c>
      <c r="H21" s="11" t="n">
        <v>1.1</v>
      </c>
      <c r="I21" s="11" t="n">
        <v>0</v>
      </c>
      <c r="J21" s="10" t="n">
        <v>0</v>
      </c>
      <c r="K21" s="11" t="n">
        <v>0</v>
      </c>
      <c r="L21" s="11" t="n">
        <v>0</v>
      </c>
      <c r="M21" s="11" t="n">
        <v>0</v>
      </c>
      <c r="N21" s="11" t="s">
        <v>108</v>
      </c>
      <c r="O21" s="11" t="s">
        <v>108</v>
      </c>
      <c r="P21" s="11" t="s">
        <v>108</v>
      </c>
      <c r="Q21" s="11" t="s">
        <v>108</v>
      </c>
      <c r="R21" s="11" t="s">
        <v>108</v>
      </c>
      <c r="S21" s="11" t="s">
        <v>110</v>
      </c>
      <c r="T21" s="11" t="s">
        <v>110</v>
      </c>
      <c r="U21" s="11" t="s">
        <v>110</v>
      </c>
      <c r="V21" s="11" t="s">
        <v>110</v>
      </c>
      <c r="W21" s="11" t="s">
        <v>110</v>
      </c>
      <c r="X21" s="11" t="s">
        <v>90</v>
      </c>
      <c r="Y21" s="11" t="s">
        <v>90</v>
      </c>
      <c r="Z21" s="11" t="s">
        <v>90</v>
      </c>
      <c r="AA21" s="11" t="s">
        <v>90</v>
      </c>
      <c r="AB21" s="11" t="s">
        <v>90</v>
      </c>
      <c r="AC21" s="11"/>
      <c r="AD21" s="20" t="s">
        <v>92</v>
      </c>
      <c r="AE21" s="20"/>
    </row>
    <row r="22" customFormat="false" ht="12.75" hidden="false" customHeight="false" outlineLevel="0" collapsed="false">
      <c r="A22" s="11" t="s">
        <v>86</v>
      </c>
      <c r="B22" s="11" t="s">
        <v>128</v>
      </c>
      <c r="C22" s="11" t="n">
        <v>196000</v>
      </c>
      <c r="D22" s="11" t="n">
        <v>518300</v>
      </c>
      <c r="E22" s="11" t="n">
        <v>196000.6</v>
      </c>
      <c r="F22" s="11" t="n">
        <v>518299.9</v>
      </c>
      <c r="G22" s="23" t="n">
        <v>45216.5083449074</v>
      </c>
      <c r="H22" s="11" t="n">
        <v>0.5</v>
      </c>
      <c r="I22" s="11" t="n">
        <v>0.1</v>
      </c>
      <c r="J22" s="10" t="n">
        <v>2.25</v>
      </c>
      <c r="K22" s="11" t="n">
        <v>0</v>
      </c>
      <c r="L22" s="11" t="n">
        <v>0</v>
      </c>
      <c r="M22" s="11" t="n">
        <v>10</v>
      </c>
      <c r="N22" s="11" t="s">
        <v>108</v>
      </c>
      <c r="O22" s="11" t="s">
        <v>108</v>
      </c>
      <c r="P22" s="11" t="s">
        <v>108</v>
      </c>
      <c r="Q22" s="11" t="s">
        <v>108</v>
      </c>
      <c r="R22" s="11" t="s">
        <v>108</v>
      </c>
      <c r="S22" s="11" t="s">
        <v>110</v>
      </c>
      <c r="T22" s="11" t="s">
        <v>110</v>
      </c>
      <c r="U22" s="11" t="s">
        <v>110</v>
      </c>
      <c r="V22" s="11" t="s">
        <v>110</v>
      </c>
      <c r="W22" s="11" t="s">
        <v>110</v>
      </c>
      <c r="X22" s="11" t="s">
        <v>90</v>
      </c>
      <c r="Y22" s="11" t="s">
        <v>90</v>
      </c>
      <c r="Z22" s="11" t="s">
        <v>90</v>
      </c>
      <c r="AA22" s="11" t="s">
        <v>98</v>
      </c>
      <c r="AB22" s="11" t="s">
        <v>90</v>
      </c>
      <c r="AC22" s="11" t="s">
        <v>95</v>
      </c>
      <c r="AD22" s="20" t="s">
        <v>92</v>
      </c>
      <c r="AE22" s="20"/>
    </row>
    <row r="23" customFormat="false" ht="12.75" hidden="false" customHeight="false" outlineLevel="0" collapsed="false">
      <c r="A23" s="11" t="s">
        <v>86</v>
      </c>
      <c r="B23" s="11" t="s">
        <v>129</v>
      </c>
      <c r="C23" s="11" t="n">
        <v>196000</v>
      </c>
      <c r="D23" s="11" t="n">
        <v>517450</v>
      </c>
      <c r="E23" s="11" t="n">
        <v>195998.3</v>
      </c>
      <c r="F23" s="11" t="n">
        <v>517449.2</v>
      </c>
      <c r="G23" s="23" t="n">
        <v>45216.4985069444</v>
      </c>
      <c r="H23" s="11" t="n">
        <v>2.9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s">
        <v>94</v>
      </c>
      <c r="O23" s="11" t="s">
        <v>94</v>
      </c>
      <c r="P23" s="11" t="s">
        <v>116</v>
      </c>
      <c r="Q23" s="11" t="s">
        <v>108</v>
      </c>
      <c r="R23" s="11" t="s">
        <v>108</v>
      </c>
      <c r="S23" s="11" t="s">
        <v>104</v>
      </c>
      <c r="T23" s="11" t="s">
        <v>97</v>
      </c>
      <c r="U23" s="11" t="s">
        <v>104</v>
      </c>
      <c r="V23" s="11" t="s">
        <v>104</v>
      </c>
      <c r="W23" s="11" t="s">
        <v>104</v>
      </c>
      <c r="X23" s="11" t="s">
        <v>90</v>
      </c>
      <c r="Y23" s="11" t="s">
        <v>90</v>
      </c>
      <c r="Z23" s="11" t="s">
        <v>90</v>
      </c>
      <c r="AA23" s="11" t="s">
        <v>90</v>
      </c>
      <c r="AB23" s="11" t="s">
        <v>90</v>
      </c>
      <c r="AC23" s="11"/>
      <c r="AD23" s="20" t="s">
        <v>92</v>
      </c>
      <c r="AE23" s="20"/>
    </row>
    <row r="24" customFormat="false" ht="12.75" hidden="false" customHeight="false" outlineLevel="0" collapsed="false">
      <c r="A24" s="11" t="s">
        <v>86</v>
      </c>
      <c r="B24" s="11" t="s">
        <v>130</v>
      </c>
      <c r="C24" s="11" t="n">
        <v>196000</v>
      </c>
      <c r="D24" s="11" t="n">
        <v>516800</v>
      </c>
      <c r="E24" s="11" t="n">
        <v>196000</v>
      </c>
      <c r="F24" s="11" t="n">
        <v>516800.2</v>
      </c>
      <c r="G24" s="23" t="n">
        <v>45216.4903240741</v>
      </c>
      <c r="H24" s="11" t="n">
        <v>1.2</v>
      </c>
      <c r="I24" s="11" t="n">
        <v>0</v>
      </c>
      <c r="J24" s="11" t="n">
        <v>26</v>
      </c>
      <c r="K24" s="11" t="n">
        <v>0</v>
      </c>
      <c r="L24" s="11" t="n">
        <v>0</v>
      </c>
      <c r="M24" s="11" t="n">
        <v>6</v>
      </c>
      <c r="N24" s="11" t="s">
        <v>108</v>
      </c>
      <c r="O24" s="11" t="s">
        <v>103</v>
      </c>
      <c r="P24" s="11" t="s">
        <v>108</v>
      </c>
      <c r="Q24" s="11" t="s">
        <v>108</v>
      </c>
      <c r="R24" s="11" t="s">
        <v>108</v>
      </c>
      <c r="S24" s="11" t="s">
        <v>110</v>
      </c>
      <c r="T24" s="11" t="s">
        <v>110</v>
      </c>
      <c r="U24" s="11" t="s">
        <v>110</v>
      </c>
      <c r="V24" s="11" t="s">
        <v>110</v>
      </c>
      <c r="W24" s="11" t="s">
        <v>110</v>
      </c>
      <c r="X24" s="11" t="s">
        <v>98</v>
      </c>
      <c r="Y24" s="11" t="s">
        <v>113</v>
      </c>
      <c r="Z24" s="11" t="s">
        <v>91</v>
      </c>
      <c r="AA24" s="11" t="s">
        <v>113</v>
      </c>
      <c r="AB24" s="11" t="s">
        <v>90</v>
      </c>
      <c r="AC24" s="11"/>
      <c r="AD24" s="20" t="s">
        <v>92</v>
      </c>
      <c r="AE24" s="20"/>
    </row>
    <row r="25" customFormat="false" ht="12.75" hidden="false" customHeight="false" outlineLevel="0" collapsed="false">
      <c r="A25" s="11" t="s">
        <v>86</v>
      </c>
      <c r="B25" s="11" t="s">
        <v>131</v>
      </c>
      <c r="C25" s="11" t="n">
        <v>196000</v>
      </c>
      <c r="D25" s="11" t="n">
        <v>516150</v>
      </c>
      <c r="E25" s="11" t="n">
        <v>196000.4</v>
      </c>
      <c r="F25" s="11" t="n">
        <v>516149.5</v>
      </c>
      <c r="G25" s="23" t="n">
        <v>45216.4819791667</v>
      </c>
      <c r="H25" s="11" t="n">
        <v>0.7</v>
      </c>
      <c r="I25" s="11" t="n">
        <v>0</v>
      </c>
      <c r="J25" s="11" t="n">
        <v>1.5</v>
      </c>
      <c r="K25" s="11" t="n">
        <v>0</v>
      </c>
      <c r="L25" s="11" t="n">
        <v>0</v>
      </c>
      <c r="M25" s="11" t="n">
        <v>8</v>
      </c>
      <c r="N25" s="11" t="s">
        <v>108</v>
      </c>
      <c r="O25" s="11" t="s">
        <v>108</v>
      </c>
      <c r="P25" s="11" t="s">
        <v>108</v>
      </c>
      <c r="Q25" s="11" t="s">
        <v>108</v>
      </c>
      <c r="R25" s="11" t="s">
        <v>108</v>
      </c>
      <c r="S25" s="11" t="s">
        <v>110</v>
      </c>
      <c r="T25" s="11" t="s">
        <v>110</v>
      </c>
      <c r="U25" s="11" t="s">
        <v>110</v>
      </c>
      <c r="V25" s="11" t="s">
        <v>110</v>
      </c>
      <c r="W25" s="11" t="s">
        <v>110</v>
      </c>
      <c r="X25" s="11" t="s">
        <v>90</v>
      </c>
      <c r="Y25" s="11" t="s">
        <v>90</v>
      </c>
      <c r="Z25" s="11" t="s">
        <v>90</v>
      </c>
      <c r="AA25" s="11" t="s">
        <v>90</v>
      </c>
      <c r="AB25" s="11" t="s">
        <v>90</v>
      </c>
      <c r="AC25" s="11"/>
      <c r="AD25" s="20" t="s">
        <v>92</v>
      </c>
      <c r="AE25" s="20"/>
    </row>
    <row r="26" customFormat="false" ht="12.75" hidden="false" customHeight="false" outlineLevel="0" collapsed="false">
      <c r="A26" s="15" t="s">
        <v>132</v>
      </c>
      <c r="B26" s="15" t="s">
        <v>133</v>
      </c>
      <c r="C26" s="15" t="n">
        <v>173321</v>
      </c>
      <c r="D26" s="15" t="n">
        <v>513866</v>
      </c>
      <c r="E26" s="15" t="n">
        <v>173322</v>
      </c>
      <c r="F26" s="15" t="n">
        <v>513866.3</v>
      </c>
      <c r="G26" s="23" t="n">
        <v>45215.4320833333</v>
      </c>
      <c r="H26" s="15" t="n">
        <v>3.6</v>
      </c>
      <c r="I26" s="15" t="n">
        <v>5</v>
      </c>
      <c r="J26" s="15" t="n">
        <v>184</v>
      </c>
      <c r="K26" s="15" t="n">
        <v>0</v>
      </c>
      <c r="L26" s="15" t="n">
        <v>0</v>
      </c>
      <c r="M26" s="15" t="n">
        <v>0</v>
      </c>
      <c r="N26" s="11" t="s">
        <v>94</v>
      </c>
      <c r="O26" s="11" t="s">
        <v>94</v>
      </c>
      <c r="P26" s="11" t="s">
        <v>94</v>
      </c>
      <c r="Q26" s="11" t="s">
        <v>94</v>
      </c>
      <c r="R26" s="11" t="s">
        <v>94</v>
      </c>
      <c r="S26" s="11" t="s">
        <v>89</v>
      </c>
      <c r="T26" s="11" t="s">
        <v>89</v>
      </c>
      <c r="U26" s="11" t="s">
        <v>89</v>
      </c>
      <c r="V26" s="11" t="s">
        <v>89</v>
      </c>
      <c r="W26" s="11" t="s">
        <v>89</v>
      </c>
      <c r="X26" s="11" t="s">
        <v>90</v>
      </c>
      <c r="Y26" s="11" t="s">
        <v>91</v>
      </c>
      <c r="Z26" s="11" t="s">
        <v>91</v>
      </c>
      <c r="AA26" s="11" t="s">
        <v>91</v>
      </c>
      <c r="AB26" s="11" t="s">
        <v>91</v>
      </c>
      <c r="AC26" s="11"/>
      <c r="AD26" s="20" t="s">
        <v>134</v>
      </c>
      <c r="AE26" s="20"/>
    </row>
    <row r="27" customFormat="false" ht="12.75" hidden="false" customHeight="false" outlineLevel="0" collapsed="false">
      <c r="A27" s="11" t="s">
        <v>132</v>
      </c>
      <c r="B27" s="11" t="s">
        <v>135</v>
      </c>
      <c r="C27" s="11" t="n">
        <v>174050</v>
      </c>
      <c r="D27" s="11" t="n">
        <v>513638</v>
      </c>
      <c r="E27" s="11" t="n">
        <v>174052</v>
      </c>
      <c r="F27" s="11" t="n">
        <v>513638.4</v>
      </c>
      <c r="G27" s="23" t="n">
        <v>45215.4231365741</v>
      </c>
      <c r="H27" s="11" t="n">
        <v>3.5</v>
      </c>
      <c r="I27" s="11" t="n">
        <v>2</v>
      </c>
      <c r="J27" s="11" t="n">
        <v>150</v>
      </c>
      <c r="K27" s="11" t="n">
        <v>0</v>
      </c>
      <c r="L27" s="11" t="n">
        <v>2</v>
      </c>
      <c r="M27" s="11" t="n">
        <v>1</v>
      </c>
      <c r="N27" s="11" t="s">
        <v>88</v>
      </c>
      <c r="O27" s="11" t="s">
        <v>94</v>
      </c>
      <c r="P27" s="11" t="s">
        <v>94</v>
      </c>
      <c r="Q27" s="11" t="s">
        <v>94</v>
      </c>
      <c r="R27" s="11" t="s">
        <v>94</v>
      </c>
      <c r="S27" s="11" t="s">
        <v>89</v>
      </c>
      <c r="T27" s="11" t="s">
        <v>97</v>
      </c>
      <c r="U27" s="11" t="s">
        <v>89</v>
      </c>
      <c r="V27" s="11" t="s">
        <v>89</v>
      </c>
      <c r="W27" s="11" t="s">
        <v>89</v>
      </c>
      <c r="X27" s="11" t="s">
        <v>136</v>
      </c>
      <c r="Y27" s="11" t="s">
        <v>90</v>
      </c>
      <c r="Z27" s="11" t="s">
        <v>91</v>
      </c>
      <c r="AA27" s="11" t="s">
        <v>90</v>
      </c>
      <c r="AB27" s="11" t="s">
        <v>91</v>
      </c>
      <c r="AC27" s="11"/>
      <c r="AD27" s="20" t="s">
        <v>134</v>
      </c>
      <c r="AE27" s="20"/>
    </row>
    <row r="28" customFormat="false" ht="12.75" hidden="false" customHeight="false" outlineLevel="0" collapsed="false">
      <c r="A28" s="11" t="s">
        <v>132</v>
      </c>
      <c r="B28" s="11" t="s">
        <v>137</v>
      </c>
      <c r="C28" s="11" t="n">
        <v>175000</v>
      </c>
      <c r="D28" s="11" t="n">
        <v>513500</v>
      </c>
      <c r="E28" s="11" t="n">
        <v>175000.3</v>
      </c>
      <c r="F28" s="11" t="n">
        <v>513503.6</v>
      </c>
      <c r="G28" s="23" t="n">
        <v>45215.413912037</v>
      </c>
      <c r="H28" s="11" t="n">
        <v>3.7</v>
      </c>
      <c r="I28" s="11" t="n">
        <v>1.3</v>
      </c>
      <c r="J28" s="11" t="n">
        <v>135</v>
      </c>
      <c r="K28" s="11" t="n">
        <v>0</v>
      </c>
      <c r="L28" s="11" t="n">
        <v>0</v>
      </c>
      <c r="M28" s="11" t="n">
        <v>1</v>
      </c>
      <c r="N28" s="11" t="s">
        <v>94</v>
      </c>
      <c r="O28" s="11" t="s">
        <v>94</v>
      </c>
      <c r="P28" s="11" t="s">
        <v>94</v>
      </c>
      <c r="Q28" s="11" t="s">
        <v>94</v>
      </c>
      <c r="R28" s="11" t="s">
        <v>88</v>
      </c>
      <c r="S28" s="11" t="s">
        <v>89</v>
      </c>
      <c r="T28" s="11" t="s">
        <v>97</v>
      </c>
      <c r="U28" s="11" t="s">
        <v>89</v>
      </c>
      <c r="V28" s="11" t="s">
        <v>89</v>
      </c>
      <c r="W28" s="11" t="s">
        <v>89</v>
      </c>
      <c r="X28" s="11" t="s">
        <v>91</v>
      </c>
      <c r="Y28" s="11" t="s">
        <v>90</v>
      </c>
      <c r="Z28" s="11" t="s">
        <v>91</v>
      </c>
      <c r="AA28" s="11" t="s">
        <v>91</v>
      </c>
      <c r="AB28" s="11" t="s">
        <v>91</v>
      </c>
      <c r="AC28" s="11" t="s">
        <v>95</v>
      </c>
      <c r="AD28" s="20" t="s">
        <v>134</v>
      </c>
      <c r="AE28" s="20"/>
    </row>
    <row r="29" customFormat="false" ht="12.75" hidden="false" customHeight="false" outlineLevel="0" collapsed="false">
      <c r="A29" s="11" t="s">
        <v>132</v>
      </c>
      <c r="B29" s="11" t="s">
        <v>138</v>
      </c>
      <c r="C29" s="11" t="n">
        <v>176000</v>
      </c>
      <c r="D29" s="11" t="n">
        <v>513500</v>
      </c>
      <c r="E29" s="11" t="n">
        <v>175996.5</v>
      </c>
      <c r="F29" s="11" t="n">
        <v>513499</v>
      </c>
      <c r="G29" s="23" t="n">
        <v>45215.4027893519</v>
      </c>
      <c r="H29" s="11" t="n">
        <v>3.3</v>
      </c>
      <c r="I29" s="11" t="n">
        <v>1.8</v>
      </c>
      <c r="J29" s="11" t="n">
        <v>120</v>
      </c>
      <c r="K29" s="11" t="n">
        <v>0</v>
      </c>
      <c r="L29" s="11" t="n">
        <v>4</v>
      </c>
      <c r="M29" s="11" t="n">
        <v>4</v>
      </c>
      <c r="N29" s="11" t="s">
        <v>116</v>
      </c>
      <c r="O29" s="11" t="s">
        <v>116</v>
      </c>
      <c r="P29" s="11" t="s">
        <v>116</v>
      </c>
      <c r="Q29" s="11" t="s">
        <v>116</v>
      </c>
      <c r="R29" s="11" t="s">
        <v>116</v>
      </c>
      <c r="S29" s="11" t="s">
        <v>97</v>
      </c>
      <c r="T29" s="11" t="s">
        <v>97</v>
      </c>
      <c r="U29" s="11" t="s">
        <v>89</v>
      </c>
      <c r="V29" s="11" t="s">
        <v>97</v>
      </c>
      <c r="W29" s="11" t="s">
        <v>97</v>
      </c>
      <c r="X29" s="11" t="s">
        <v>91</v>
      </c>
      <c r="Y29" s="11" t="s">
        <v>139</v>
      </c>
      <c r="Z29" s="11" t="s">
        <v>112</v>
      </c>
      <c r="AA29" s="11" t="s">
        <v>90</v>
      </c>
      <c r="AB29" s="11" t="s">
        <v>90</v>
      </c>
      <c r="AC29" s="11"/>
      <c r="AD29" s="20" t="s">
        <v>134</v>
      </c>
      <c r="AE29" s="20"/>
    </row>
    <row r="30" customFormat="false" ht="12.75" hidden="false" customHeight="false" outlineLevel="0" collapsed="false">
      <c r="A30" s="11" t="s">
        <v>132</v>
      </c>
      <c r="B30" s="11" t="s">
        <v>140</v>
      </c>
      <c r="C30" s="11" t="n">
        <v>177000</v>
      </c>
      <c r="D30" s="11" t="n">
        <v>513500</v>
      </c>
      <c r="E30" s="11" t="n">
        <v>177000.7</v>
      </c>
      <c r="F30" s="11" t="n">
        <v>513501.6</v>
      </c>
      <c r="G30" s="23" t="n">
        <v>45215.3848611111</v>
      </c>
      <c r="H30" s="11" t="n">
        <v>3.8</v>
      </c>
      <c r="I30" s="11" t="n">
        <v>0</v>
      </c>
      <c r="J30" s="11" t="n">
        <v>0.1</v>
      </c>
      <c r="K30" s="11" t="n">
        <v>0</v>
      </c>
      <c r="L30" s="11" t="n">
        <v>0</v>
      </c>
      <c r="M30" s="11" t="n">
        <v>2</v>
      </c>
      <c r="N30" s="11" t="s">
        <v>88</v>
      </c>
      <c r="O30" s="11" t="s">
        <v>88</v>
      </c>
      <c r="P30" s="11" t="s">
        <v>88</v>
      </c>
      <c r="Q30" s="11" t="s">
        <v>88</v>
      </c>
      <c r="R30" s="11" t="s">
        <v>88</v>
      </c>
      <c r="S30" s="11" t="s">
        <v>89</v>
      </c>
      <c r="T30" s="11" t="s">
        <v>109</v>
      </c>
      <c r="U30" s="11" t="s">
        <v>109</v>
      </c>
      <c r="V30" s="11" t="s">
        <v>101</v>
      </c>
      <c r="W30" s="11" t="s">
        <v>109</v>
      </c>
      <c r="X30" s="11" t="s">
        <v>90</v>
      </c>
      <c r="Y30" s="11" t="s">
        <v>90</v>
      </c>
      <c r="Z30" s="11" t="s">
        <v>90</v>
      </c>
      <c r="AA30" s="11" t="s">
        <v>90</v>
      </c>
      <c r="AB30" s="11" t="s">
        <v>90</v>
      </c>
      <c r="AC30" s="11"/>
      <c r="AD30" s="20" t="s">
        <v>134</v>
      </c>
      <c r="AE30" s="20"/>
    </row>
    <row r="31" customFormat="false" ht="12.75" hidden="false" customHeight="false" outlineLevel="0" collapsed="false">
      <c r="A31" s="11" t="s">
        <v>132</v>
      </c>
      <c r="B31" s="11" t="s">
        <v>141</v>
      </c>
      <c r="C31" s="11" t="n">
        <v>178000</v>
      </c>
      <c r="D31" s="11" t="n">
        <v>513500</v>
      </c>
      <c r="E31" s="11" t="n">
        <v>177997.6</v>
      </c>
      <c r="F31" s="11" t="n">
        <v>513500</v>
      </c>
      <c r="G31" s="23" t="n">
        <v>45215.373125</v>
      </c>
      <c r="H31" s="11" t="n">
        <v>3.6</v>
      </c>
      <c r="I31" s="11" t="n">
        <v>3</v>
      </c>
      <c r="J31" s="11" t="n">
        <v>140</v>
      </c>
      <c r="K31" s="11" t="n">
        <v>0</v>
      </c>
      <c r="L31" s="11" t="n">
        <v>0</v>
      </c>
      <c r="M31" s="11" t="n">
        <v>6</v>
      </c>
      <c r="N31" s="11" t="s">
        <v>88</v>
      </c>
      <c r="O31" s="11" t="s">
        <v>88</v>
      </c>
      <c r="P31" s="11" t="s">
        <v>88</v>
      </c>
      <c r="Q31" s="11" t="s">
        <v>88</v>
      </c>
      <c r="R31" s="11" t="s">
        <v>88</v>
      </c>
      <c r="S31" s="11" t="s">
        <v>97</v>
      </c>
      <c r="T31" s="11" t="s">
        <v>109</v>
      </c>
      <c r="U31" s="11" t="s">
        <v>97</v>
      </c>
      <c r="V31" s="11" t="s">
        <v>109</v>
      </c>
      <c r="W31" s="11" t="s">
        <v>109</v>
      </c>
      <c r="X31" s="11" t="s">
        <v>113</v>
      </c>
      <c r="Y31" s="11" t="s">
        <v>90</v>
      </c>
      <c r="Z31" s="11" t="s">
        <v>91</v>
      </c>
      <c r="AA31" s="11" t="s">
        <v>90</v>
      </c>
      <c r="AB31" s="11" t="s">
        <v>90</v>
      </c>
      <c r="AC31" s="11" t="s">
        <v>95</v>
      </c>
      <c r="AD31" s="20" t="s">
        <v>134</v>
      </c>
      <c r="AE31" s="20"/>
    </row>
    <row r="32" customFormat="false" ht="12.75" hidden="false" customHeight="false" outlineLevel="0" collapsed="false">
      <c r="A32" s="11" t="s">
        <v>132</v>
      </c>
      <c r="B32" s="11" t="s">
        <v>142</v>
      </c>
      <c r="C32" s="11" t="n">
        <v>178972</v>
      </c>
      <c r="D32" s="11" t="n">
        <v>513635</v>
      </c>
      <c r="E32" s="11" t="n">
        <v>178970.1</v>
      </c>
      <c r="F32" s="11" t="n">
        <v>513635</v>
      </c>
      <c r="G32" s="23" t="n">
        <v>45215.3575578704</v>
      </c>
      <c r="H32" s="11" t="n">
        <v>3.5</v>
      </c>
      <c r="I32" s="11" t="n">
        <v>0</v>
      </c>
      <c r="J32" s="11" t="n">
        <v>6</v>
      </c>
      <c r="K32" s="11" t="n">
        <v>0</v>
      </c>
      <c r="L32" s="11" t="n">
        <v>1</v>
      </c>
      <c r="M32" s="11" t="n">
        <v>1</v>
      </c>
      <c r="N32" s="11" t="s">
        <v>88</v>
      </c>
      <c r="O32" s="11" t="s">
        <v>88</v>
      </c>
      <c r="P32" s="11" t="s">
        <v>88</v>
      </c>
      <c r="Q32" s="11" t="s">
        <v>88</v>
      </c>
      <c r="R32" s="11" t="s">
        <v>88</v>
      </c>
      <c r="S32" s="11" t="s">
        <v>101</v>
      </c>
      <c r="T32" s="11" t="s">
        <v>101</v>
      </c>
      <c r="U32" s="11" t="s">
        <v>101</v>
      </c>
      <c r="V32" s="11" t="s">
        <v>101</v>
      </c>
      <c r="W32" s="11" t="s">
        <v>101</v>
      </c>
      <c r="X32" s="11" t="s">
        <v>90</v>
      </c>
      <c r="Y32" s="11" t="s">
        <v>91</v>
      </c>
      <c r="Z32" s="11" t="s">
        <v>90</v>
      </c>
      <c r="AA32" s="11" t="s">
        <v>90</v>
      </c>
      <c r="AB32" s="11" t="s">
        <v>90</v>
      </c>
      <c r="AC32" s="11"/>
      <c r="AD32" s="20" t="s">
        <v>134</v>
      </c>
      <c r="AE32" s="20"/>
    </row>
    <row r="33" customFormat="false" ht="12.75" hidden="false" customHeight="false" outlineLevel="0" collapsed="false">
      <c r="A33" s="11" t="s">
        <v>132</v>
      </c>
      <c r="B33" s="11" t="s">
        <v>143</v>
      </c>
      <c r="C33" s="11" t="n">
        <v>181000</v>
      </c>
      <c r="D33" s="11" t="n">
        <v>513500</v>
      </c>
      <c r="E33" s="11" t="n">
        <v>180999</v>
      </c>
      <c r="F33" s="11" t="n">
        <v>513500</v>
      </c>
      <c r="G33" s="23" t="n">
        <v>45215.6069328704</v>
      </c>
      <c r="H33" s="11" t="n">
        <v>2.9</v>
      </c>
      <c r="I33" s="11" t="n">
        <v>0</v>
      </c>
      <c r="J33" s="11" t="n">
        <v>0</v>
      </c>
      <c r="K33" s="11" t="n">
        <v>0</v>
      </c>
      <c r="L33" s="11" t="n">
        <v>1</v>
      </c>
      <c r="M33" s="11" t="n">
        <v>0</v>
      </c>
      <c r="N33" s="11" t="s">
        <v>100</v>
      </c>
      <c r="O33" s="11" t="s">
        <v>94</v>
      </c>
      <c r="P33" s="11" t="s">
        <v>94</v>
      </c>
      <c r="Q33" s="11" t="s">
        <v>94</v>
      </c>
      <c r="R33" s="11" t="s">
        <v>94</v>
      </c>
      <c r="S33" s="11" t="s">
        <v>89</v>
      </c>
      <c r="T33" s="11" t="s">
        <v>89</v>
      </c>
      <c r="U33" s="11" t="s">
        <v>89</v>
      </c>
      <c r="V33" s="11" t="s">
        <v>89</v>
      </c>
      <c r="W33" s="11" t="s">
        <v>89</v>
      </c>
      <c r="X33" s="11" t="s">
        <v>90</v>
      </c>
      <c r="Y33" s="11" t="s">
        <v>90</v>
      </c>
      <c r="Z33" s="11" t="s">
        <v>90</v>
      </c>
      <c r="AA33" s="11" t="s">
        <v>90</v>
      </c>
      <c r="AB33" s="11" t="s">
        <v>90</v>
      </c>
      <c r="AC33" s="11"/>
      <c r="AD33" s="20" t="s">
        <v>134</v>
      </c>
      <c r="AE33" s="20"/>
    </row>
    <row r="34" customFormat="false" ht="12.75" hidden="false" customHeight="false" outlineLevel="0" collapsed="false">
      <c r="A34" s="11" t="s">
        <v>132</v>
      </c>
      <c r="B34" s="11" t="s">
        <v>144</v>
      </c>
      <c r="C34" s="11" t="n">
        <v>182000</v>
      </c>
      <c r="D34" s="11" t="n">
        <v>513500</v>
      </c>
      <c r="E34" s="11" t="n">
        <v>182000.2</v>
      </c>
      <c r="F34" s="11" t="n">
        <v>513497.9</v>
      </c>
      <c r="G34" s="23" t="n">
        <v>45215.5828935185</v>
      </c>
      <c r="H34" s="11" t="n">
        <v>2.7</v>
      </c>
      <c r="I34" s="11" t="n">
        <v>0</v>
      </c>
      <c r="J34" s="11" t="n">
        <v>2</v>
      </c>
      <c r="K34" s="11" t="n">
        <v>0</v>
      </c>
      <c r="L34" s="11" t="n">
        <v>1</v>
      </c>
      <c r="M34" s="11" t="n">
        <v>1</v>
      </c>
      <c r="N34" s="11" t="s">
        <v>94</v>
      </c>
      <c r="O34" s="11" t="s">
        <v>94</v>
      </c>
      <c r="P34" s="11" t="s">
        <v>94</v>
      </c>
      <c r="Q34" s="11" t="s">
        <v>100</v>
      </c>
      <c r="R34" s="11" t="s">
        <v>100</v>
      </c>
      <c r="S34" s="11" t="s">
        <v>89</v>
      </c>
      <c r="T34" s="11" t="s">
        <v>89</v>
      </c>
      <c r="U34" s="11" t="s">
        <v>89</v>
      </c>
      <c r="V34" s="11" t="s">
        <v>89</v>
      </c>
      <c r="W34" s="11" t="s">
        <v>101</v>
      </c>
      <c r="X34" s="11" t="s">
        <v>90</v>
      </c>
      <c r="Y34" s="11" t="s">
        <v>90</v>
      </c>
      <c r="Z34" s="11" t="s">
        <v>136</v>
      </c>
      <c r="AA34" s="11" t="s">
        <v>90</v>
      </c>
      <c r="AB34" s="11" t="s">
        <v>90</v>
      </c>
      <c r="AC34" s="11"/>
      <c r="AD34" s="20" t="s">
        <v>134</v>
      </c>
      <c r="AE34" s="20"/>
    </row>
    <row r="35" customFormat="false" ht="12.75" hidden="false" customHeight="false" outlineLevel="0" collapsed="false">
      <c r="A35" s="11" t="s">
        <v>132</v>
      </c>
      <c r="B35" s="11" t="s">
        <v>145</v>
      </c>
      <c r="C35" s="11" t="n">
        <v>183000</v>
      </c>
      <c r="D35" s="11" t="n">
        <v>513500</v>
      </c>
      <c r="E35" s="11" t="n">
        <v>183000.6</v>
      </c>
      <c r="F35" s="11" t="n">
        <v>513498.8</v>
      </c>
      <c r="G35" s="23" t="n">
        <v>45215.5739236111</v>
      </c>
      <c r="H35" s="11" t="n">
        <v>1.8</v>
      </c>
      <c r="I35" s="11" t="n">
        <v>0</v>
      </c>
      <c r="J35" s="11" t="n">
        <v>18</v>
      </c>
      <c r="K35" s="11" t="n">
        <v>0</v>
      </c>
      <c r="L35" s="11" t="n">
        <v>0</v>
      </c>
      <c r="M35" s="11" t="n">
        <v>1</v>
      </c>
      <c r="N35" s="11" t="s">
        <v>108</v>
      </c>
      <c r="O35" s="11" t="s">
        <v>116</v>
      </c>
      <c r="P35" s="11" t="s">
        <v>108</v>
      </c>
      <c r="Q35" s="11" t="s">
        <v>108</v>
      </c>
      <c r="R35" s="11" t="s">
        <v>108</v>
      </c>
      <c r="S35" s="11" t="s">
        <v>110</v>
      </c>
      <c r="T35" s="11" t="s">
        <v>97</v>
      </c>
      <c r="U35" s="11" t="s">
        <v>104</v>
      </c>
      <c r="V35" s="11" t="s">
        <v>104</v>
      </c>
      <c r="W35" s="11" t="s">
        <v>104</v>
      </c>
      <c r="X35" s="11" t="s">
        <v>90</v>
      </c>
      <c r="Y35" s="11" t="s">
        <v>90</v>
      </c>
      <c r="Z35" s="11" t="s">
        <v>91</v>
      </c>
      <c r="AA35" s="11" t="s">
        <v>90</v>
      </c>
      <c r="AB35" s="11" t="s">
        <v>90</v>
      </c>
      <c r="AC35" s="11"/>
      <c r="AD35" s="20" t="s">
        <v>134</v>
      </c>
      <c r="AE35" s="20"/>
    </row>
    <row r="36" customFormat="false" ht="12.75" hidden="false" customHeight="false" outlineLevel="0" collapsed="false">
      <c r="A36" s="11" t="s">
        <v>132</v>
      </c>
      <c r="B36" s="11" t="s">
        <v>146</v>
      </c>
      <c r="C36" s="11" t="n">
        <v>173000</v>
      </c>
      <c r="D36" s="11" t="n">
        <v>512750</v>
      </c>
      <c r="E36" s="11" t="n">
        <v>173000.2</v>
      </c>
      <c r="F36" s="11" t="n">
        <v>512752.2</v>
      </c>
      <c r="G36" s="23" t="n">
        <v>45215.4440162037</v>
      </c>
      <c r="H36" s="11" t="n">
        <v>3.4</v>
      </c>
      <c r="I36" s="11" t="n">
        <v>0</v>
      </c>
      <c r="J36" s="11" t="n">
        <v>25</v>
      </c>
      <c r="K36" s="11" t="n">
        <v>0</v>
      </c>
      <c r="L36" s="11" t="n">
        <v>0</v>
      </c>
      <c r="M36" s="11" t="n">
        <v>7</v>
      </c>
      <c r="N36" s="11" t="s">
        <v>88</v>
      </c>
      <c r="O36" s="11" t="s">
        <v>88</v>
      </c>
      <c r="P36" s="11" t="s">
        <v>88</v>
      </c>
      <c r="Q36" s="11" t="s">
        <v>94</v>
      </c>
      <c r="R36" s="11" t="s">
        <v>94</v>
      </c>
      <c r="S36" s="11" t="s">
        <v>101</v>
      </c>
      <c r="T36" s="11" t="s">
        <v>101</v>
      </c>
      <c r="U36" s="11" t="s">
        <v>101</v>
      </c>
      <c r="V36" s="11" t="s">
        <v>89</v>
      </c>
      <c r="W36" s="11" t="s">
        <v>101</v>
      </c>
      <c r="X36" s="11" t="s">
        <v>90</v>
      </c>
      <c r="Y36" s="11" t="s">
        <v>90</v>
      </c>
      <c r="Z36" s="11" t="s">
        <v>90</v>
      </c>
      <c r="AA36" s="11" t="s">
        <v>90</v>
      </c>
      <c r="AB36" s="11" t="s">
        <v>90</v>
      </c>
      <c r="AC36" s="11"/>
      <c r="AD36" s="20" t="s">
        <v>134</v>
      </c>
      <c r="AE36" s="20"/>
    </row>
    <row r="37" customFormat="false" ht="12.75" hidden="false" customHeight="false" outlineLevel="0" collapsed="false">
      <c r="A37" s="11" t="s">
        <v>132</v>
      </c>
      <c r="B37" s="11" t="s">
        <v>147</v>
      </c>
      <c r="C37" s="11" t="n">
        <v>173879</v>
      </c>
      <c r="D37" s="11" t="n">
        <v>512369</v>
      </c>
      <c r="E37" s="11" t="n">
        <v>173880.2</v>
      </c>
      <c r="F37" s="11" t="n">
        <v>512368.3</v>
      </c>
      <c r="G37" s="23" t="n">
        <v>45215.4513773148</v>
      </c>
      <c r="H37" s="11" t="n">
        <v>3.3</v>
      </c>
      <c r="I37" s="11" t="n">
        <v>0</v>
      </c>
      <c r="J37" s="11" t="n">
        <v>92</v>
      </c>
      <c r="K37" s="11" t="n">
        <v>0</v>
      </c>
      <c r="L37" s="11" t="n">
        <v>0</v>
      </c>
      <c r="M37" s="11" t="n">
        <v>3</v>
      </c>
      <c r="N37" s="11" t="s">
        <v>88</v>
      </c>
      <c r="O37" s="11" t="s">
        <v>94</v>
      </c>
      <c r="P37" s="11" t="s">
        <v>94</v>
      </c>
      <c r="Q37" s="11" t="s">
        <v>94</v>
      </c>
      <c r="R37" s="11" t="s">
        <v>94</v>
      </c>
      <c r="S37" s="11" t="s">
        <v>101</v>
      </c>
      <c r="T37" s="11" t="s">
        <v>89</v>
      </c>
      <c r="U37" s="11" t="s">
        <v>89</v>
      </c>
      <c r="V37" s="11" t="s">
        <v>89</v>
      </c>
      <c r="W37" s="11" t="s">
        <v>89</v>
      </c>
      <c r="X37" s="11" t="s">
        <v>91</v>
      </c>
      <c r="Y37" s="11" t="s">
        <v>90</v>
      </c>
      <c r="Z37" s="11" t="s">
        <v>91</v>
      </c>
      <c r="AA37" s="11" t="s">
        <v>90</v>
      </c>
      <c r="AB37" s="11" t="s">
        <v>91</v>
      </c>
      <c r="AC37" s="11"/>
      <c r="AD37" s="20" t="s">
        <v>134</v>
      </c>
      <c r="AE37" s="20"/>
    </row>
    <row r="38" customFormat="false" ht="12.75" hidden="false" customHeight="false" outlineLevel="0" collapsed="false">
      <c r="A38" s="11" t="s">
        <v>132</v>
      </c>
      <c r="B38" s="11" t="s">
        <v>148</v>
      </c>
      <c r="C38" s="11" t="n">
        <v>175000</v>
      </c>
      <c r="D38" s="11" t="n">
        <v>512750</v>
      </c>
      <c r="E38" s="11" t="n">
        <v>174997.9</v>
      </c>
      <c r="F38" s="11" t="n">
        <v>512747.6</v>
      </c>
      <c r="G38" s="23" t="n">
        <v>45215.4786226852</v>
      </c>
      <c r="H38" s="11" t="n">
        <v>3.5</v>
      </c>
      <c r="I38" s="11" t="n">
        <v>3.5</v>
      </c>
      <c r="J38" s="11" t="n">
        <v>115</v>
      </c>
      <c r="K38" s="11" t="n">
        <v>0</v>
      </c>
      <c r="L38" s="11" t="n">
        <v>0</v>
      </c>
      <c r="M38" s="11" t="n">
        <v>0</v>
      </c>
      <c r="N38" s="11" t="s">
        <v>94</v>
      </c>
      <c r="O38" s="11" t="s">
        <v>94</v>
      </c>
      <c r="P38" s="11" t="s">
        <v>94</v>
      </c>
      <c r="Q38" s="11" t="s">
        <v>94</v>
      </c>
      <c r="R38" s="11" t="s">
        <v>94</v>
      </c>
      <c r="S38" s="11" t="s">
        <v>89</v>
      </c>
      <c r="T38" s="11" t="s">
        <v>89</v>
      </c>
      <c r="U38" s="11" t="s">
        <v>89</v>
      </c>
      <c r="V38" s="11" t="s">
        <v>89</v>
      </c>
      <c r="W38" s="11" t="s">
        <v>89</v>
      </c>
      <c r="X38" s="11" t="s">
        <v>90</v>
      </c>
      <c r="Y38" s="11" t="s">
        <v>91</v>
      </c>
      <c r="Z38" s="11" t="s">
        <v>91</v>
      </c>
      <c r="AA38" s="11" t="s">
        <v>91</v>
      </c>
      <c r="AB38" s="11" t="s">
        <v>91</v>
      </c>
      <c r="AC38" s="11" t="s">
        <v>95</v>
      </c>
      <c r="AD38" s="20" t="s">
        <v>134</v>
      </c>
      <c r="AE38" s="20"/>
    </row>
    <row r="39" customFormat="false" ht="12.75" hidden="false" customHeight="false" outlineLevel="0" collapsed="false">
      <c r="A39" s="11" t="s">
        <v>132</v>
      </c>
      <c r="B39" s="11" t="s">
        <v>149</v>
      </c>
      <c r="C39" s="11" t="n">
        <v>176000</v>
      </c>
      <c r="D39" s="11" t="n">
        <v>513000</v>
      </c>
      <c r="E39" s="11" t="n">
        <v>176002.2</v>
      </c>
      <c r="F39" s="11" t="n">
        <v>513003</v>
      </c>
      <c r="G39" s="23" t="n">
        <v>45215.3959259259</v>
      </c>
      <c r="H39" s="11" t="n">
        <v>3.4</v>
      </c>
      <c r="I39" s="11" t="n">
        <v>6</v>
      </c>
      <c r="J39" s="11" t="n">
        <v>225</v>
      </c>
      <c r="K39" s="11" t="n">
        <v>0</v>
      </c>
      <c r="L39" s="11" t="n">
        <v>0</v>
      </c>
      <c r="M39" s="11" t="n">
        <v>1</v>
      </c>
      <c r="N39" s="11" t="s">
        <v>88</v>
      </c>
      <c r="O39" s="11" t="s">
        <v>88</v>
      </c>
      <c r="P39" s="11" t="s">
        <v>88</v>
      </c>
      <c r="Q39" s="11" t="s">
        <v>88</v>
      </c>
      <c r="R39" s="11" t="s">
        <v>88</v>
      </c>
      <c r="S39" s="11" t="s">
        <v>89</v>
      </c>
      <c r="T39" s="11" t="s">
        <v>89</v>
      </c>
      <c r="U39" s="11" t="s">
        <v>89</v>
      </c>
      <c r="V39" s="11" t="s">
        <v>101</v>
      </c>
      <c r="W39" s="11" t="s">
        <v>89</v>
      </c>
      <c r="X39" s="11" t="s">
        <v>90</v>
      </c>
      <c r="Y39" s="11" t="s">
        <v>91</v>
      </c>
      <c r="Z39" s="11" t="s">
        <v>91</v>
      </c>
      <c r="AA39" s="11" t="s">
        <v>91</v>
      </c>
      <c r="AB39" s="11" t="s">
        <v>113</v>
      </c>
      <c r="AC39" s="11"/>
      <c r="AD39" s="20" t="s">
        <v>134</v>
      </c>
      <c r="AE39" s="20"/>
    </row>
    <row r="40" customFormat="false" ht="12.75" hidden="false" customHeight="false" outlineLevel="0" collapsed="false">
      <c r="A40" s="11" t="s">
        <v>132</v>
      </c>
      <c r="B40" s="11" t="s">
        <v>150</v>
      </c>
      <c r="C40" s="11" t="n">
        <v>177000</v>
      </c>
      <c r="D40" s="11" t="n">
        <v>512500</v>
      </c>
      <c r="E40" s="11" t="n">
        <v>177004.5</v>
      </c>
      <c r="F40" s="11" t="n">
        <v>512500.9</v>
      </c>
      <c r="G40" s="23" t="n">
        <v>45215.5024537037</v>
      </c>
      <c r="H40" s="11" t="n">
        <v>3.7</v>
      </c>
      <c r="I40" s="11" t="n">
        <v>0</v>
      </c>
      <c r="J40" s="11" t="n">
        <v>40</v>
      </c>
      <c r="K40" s="11" t="n">
        <v>0</v>
      </c>
      <c r="L40" s="11" t="n">
        <v>1</v>
      </c>
      <c r="M40" s="11" t="n">
        <v>7</v>
      </c>
      <c r="N40" s="11" t="s">
        <v>88</v>
      </c>
      <c r="O40" s="11" t="s">
        <v>94</v>
      </c>
      <c r="P40" s="11" t="s">
        <v>94</v>
      </c>
      <c r="Q40" s="11" t="s">
        <v>94</v>
      </c>
      <c r="R40" s="11" t="s">
        <v>88</v>
      </c>
      <c r="S40" s="11" t="s">
        <v>109</v>
      </c>
      <c r="T40" s="11" t="s">
        <v>89</v>
      </c>
      <c r="U40" s="11" t="s">
        <v>89</v>
      </c>
      <c r="V40" s="11" t="s">
        <v>89</v>
      </c>
      <c r="W40" s="11" t="s">
        <v>101</v>
      </c>
      <c r="X40" s="11" t="s">
        <v>136</v>
      </c>
      <c r="Y40" s="11" t="s">
        <v>90</v>
      </c>
      <c r="Z40" s="11" t="s">
        <v>91</v>
      </c>
      <c r="AA40" s="11" t="s">
        <v>90</v>
      </c>
      <c r="AB40" s="11" t="s">
        <v>90</v>
      </c>
      <c r="AC40" s="11"/>
      <c r="AD40" s="20" t="s">
        <v>134</v>
      </c>
      <c r="AE40" s="20"/>
    </row>
    <row r="41" customFormat="false" ht="12.75" hidden="false" customHeight="false" outlineLevel="0" collapsed="false">
      <c r="A41" s="11" t="s">
        <v>132</v>
      </c>
      <c r="B41" s="11" t="s">
        <v>151</v>
      </c>
      <c r="C41" s="11" t="n">
        <v>181000</v>
      </c>
      <c r="D41" s="11" t="n">
        <v>512500</v>
      </c>
      <c r="E41" s="11" t="n">
        <v>181001.5</v>
      </c>
      <c r="F41" s="11" t="n">
        <v>512500.6</v>
      </c>
      <c r="G41" s="23" t="n">
        <v>45215.5970949074</v>
      </c>
      <c r="H41" s="11" t="n">
        <v>2.9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3</v>
      </c>
      <c r="N41" s="11" t="s">
        <v>94</v>
      </c>
      <c r="O41" s="11" t="s">
        <v>94</v>
      </c>
      <c r="P41" s="11" t="s">
        <v>94</v>
      </c>
      <c r="Q41" s="11" t="s">
        <v>88</v>
      </c>
      <c r="R41" s="11" t="s">
        <v>88</v>
      </c>
      <c r="S41" s="11" t="s">
        <v>89</v>
      </c>
      <c r="T41" s="11" t="s">
        <v>89</v>
      </c>
      <c r="U41" s="11" t="s">
        <v>89</v>
      </c>
      <c r="V41" s="11" t="s">
        <v>101</v>
      </c>
      <c r="W41" s="11" t="s">
        <v>101</v>
      </c>
      <c r="X41" s="11" t="s">
        <v>90</v>
      </c>
      <c r="Y41" s="11" t="s">
        <v>90</v>
      </c>
      <c r="Z41" s="11" t="s">
        <v>90</v>
      </c>
      <c r="AA41" s="11" t="s">
        <v>90</v>
      </c>
      <c r="AB41" s="11" t="s">
        <v>90</v>
      </c>
      <c r="AC41" s="11"/>
      <c r="AD41" s="20" t="s">
        <v>134</v>
      </c>
      <c r="AE41" s="20"/>
    </row>
    <row r="42" customFormat="false" ht="12.75" hidden="false" customHeight="false" outlineLevel="0" collapsed="false">
      <c r="A42" s="11" t="s">
        <v>132</v>
      </c>
      <c r="B42" s="11" t="s">
        <v>152</v>
      </c>
      <c r="C42" s="11" t="n">
        <v>182000</v>
      </c>
      <c r="D42" s="11" t="n">
        <v>512500</v>
      </c>
      <c r="E42" s="11" t="n">
        <v>182002.9</v>
      </c>
      <c r="F42" s="11" t="n">
        <v>512499.8</v>
      </c>
      <c r="G42" s="23" t="n">
        <v>45215.5621875</v>
      </c>
      <c r="H42" s="11" t="n">
        <v>2.5</v>
      </c>
      <c r="I42" s="11" t="n">
        <v>0</v>
      </c>
      <c r="J42" s="11" t="n">
        <v>63</v>
      </c>
      <c r="K42" s="11" t="n">
        <v>0</v>
      </c>
      <c r="L42" s="11" t="n">
        <v>0</v>
      </c>
      <c r="M42" s="11" t="n">
        <v>13</v>
      </c>
      <c r="N42" s="11" t="s">
        <v>153</v>
      </c>
      <c r="O42" s="11" t="s">
        <v>88</v>
      </c>
      <c r="P42" s="11" t="s">
        <v>88</v>
      </c>
      <c r="Q42" s="11" t="s">
        <v>88</v>
      </c>
      <c r="R42" s="11" t="s">
        <v>88</v>
      </c>
      <c r="S42" s="11" t="s">
        <v>97</v>
      </c>
      <c r="T42" s="11" t="s">
        <v>101</v>
      </c>
      <c r="U42" s="11" t="s">
        <v>101</v>
      </c>
      <c r="V42" s="11" t="s">
        <v>101</v>
      </c>
      <c r="W42" s="11" t="s">
        <v>101</v>
      </c>
      <c r="X42" s="11" t="s">
        <v>90</v>
      </c>
      <c r="Y42" s="11" t="s">
        <v>90</v>
      </c>
      <c r="Z42" s="11" t="s">
        <v>90</v>
      </c>
      <c r="AA42" s="11" t="s">
        <v>90</v>
      </c>
      <c r="AB42" s="11" t="s">
        <v>112</v>
      </c>
      <c r="AC42" s="11"/>
      <c r="AD42" s="20" t="s">
        <v>134</v>
      </c>
      <c r="AE42" s="20"/>
    </row>
    <row r="43" customFormat="false" ht="12.75" hidden="false" customHeight="false" outlineLevel="0" collapsed="false">
      <c r="A43" s="11" t="s">
        <v>132</v>
      </c>
      <c r="B43" s="11" t="s">
        <v>154</v>
      </c>
      <c r="C43" s="11" t="n">
        <v>174762</v>
      </c>
      <c r="D43" s="11" t="n">
        <v>512049</v>
      </c>
      <c r="E43" s="11" t="n">
        <v>174764.1</v>
      </c>
      <c r="F43" s="11" t="n">
        <v>512048.1</v>
      </c>
      <c r="G43" s="23" t="n">
        <v>45215.460162037</v>
      </c>
      <c r="H43" s="11" t="n">
        <v>2.9</v>
      </c>
      <c r="I43" s="11" t="n">
        <v>10</v>
      </c>
      <c r="J43" s="11" t="n">
        <v>475</v>
      </c>
      <c r="K43" s="11" t="n">
        <v>0</v>
      </c>
      <c r="L43" s="11" t="n">
        <v>0</v>
      </c>
      <c r="M43" s="11" t="n">
        <v>0</v>
      </c>
      <c r="N43" s="11" t="s">
        <v>94</v>
      </c>
      <c r="O43" s="11" t="s">
        <v>94</v>
      </c>
      <c r="P43" s="11" t="s">
        <v>94</v>
      </c>
      <c r="Q43" s="11" t="s">
        <v>94</v>
      </c>
      <c r="R43" s="11" t="s">
        <v>88</v>
      </c>
      <c r="S43" s="11" t="s">
        <v>89</v>
      </c>
      <c r="T43" s="11" t="s">
        <v>89</v>
      </c>
      <c r="U43" s="11" t="s">
        <v>89</v>
      </c>
      <c r="V43" s="11" t="s">
        <v>89</v>
      </c>
      <c r="W43" s="11" t="s">
        <v>101</v>
      </c>
      <c r="X43" s="11" t="s">
        <v>91</v>
      </c>
      <c r="Y43" s="11" t="s">
        <v>91</v>
      </c>
      <c r="Z43" s="11" t="s">
        <v>91</v>
      </c>
      <c r="AA43" s="11" t="s">
        <v>91</v>
      </c>
      <c r="AB43" s="11" t="s">
        <v>91</v>
      </c>
      <c r="AC43" s="11" t="s">
        <v>95</v>
      </c>
      <c r="AD43" s="20" t="s">
        <v>134</v>
      </c>
      <c r="AE43" s="20"/>
    </row>
    <row r="44" customFormat="false" ht="12.75" hidden="false" customHeight="false" outlineLevel="0" collapsed="false">
      <c r="A44" s="11" t="s">
        <v>132</v>
      </c>
      <c r="B44" s="11" t="s">
        <v>155</v>
      </c>
      <c r="C44" s="11" t="n">
        <v>175843</v>
      </c>
      <c r="D44" s="11" t="n">
        <v>511812</v>
      </c>
      <c r="E44" s="11" t="n">
        <v>175843</v>
      </c>
      <c r="F44" s="11" t="n">
        <v>511812.6</v>
      </c>
      <c r="G44" s="23" t="n">
        <v>45215.4928009259</v>
      </c>
      <c r="H44" s="11" t="n">
        <v>3.5</v>
      </c>
      <c r="I44" s="11" t="n">
        <v>0</v>
      </c>
      <c r="J44" s="11" t="n">
        <v>0.1</v>
      </c>
      <c r="K44" s="11" t="n">
        <v>0</v>
      </c>
      <c r="L44" s="11" t="n">
        <v>1</v>
      </c>
      <c r="M44" s="11" t="n">
        <v>8</v>
      </c>
      <c r="N44" s="11" t="s">
        <v>94</v>
      </c>
      <c r="O44" s="11" t="s">
        <v>94</v>
      </c>
      <c r="P44" s="11" t="s">
        <v>94</v>
      </c>
      <c r="Q44" s="11" t="s">
        <v>94</v>
      </c>
      <c r="R44" s="11" t="s">
        <v>100</v>
      </c>
      <c r="S44" s="11" t="s">
        <v>89</v>
      </c>
      <c r="T44" s="11" t="s">
        <v>101</v>
      </c>
      <c r="U44" s="11" t="s">
        <v>89</v>
      </c>
      <c r="V44" s="11" t="s">
        <v>89</v>
      </c>
      <c r="W44" s="11" t="s">
        <v>101</v>
      </c>
      <c r="X44" s="11" t="s">
        <v>136</v>
      </c>
      <c r="Y44" s="11" t="s">
        <v>90</v>
      </c>
      <c r="Z44" s="11" t="s">
        <v>90</v>
      </c>
      <c r="AA44" s="11" t="s">
        <v>90</v>
      </c>
      <c r="AB44" s="11" t="s">
        <v>90</v>
      </c>
      <c r="AC44" s="11"/>
      <c r="AD44" s="20" t="s">
        <v>134</v>
      </c>
      <c r="AE44" s="20"/>
    </row>
    <row r="45" customFormat="false" ht="12.75" hidden="false" customHeight="false" outlineLevel="0" collapsed="false">
      <c r="A45" s="11" t="s">
        <v>132</v>
      </c>
      <c r="B45" s="11" t="s">
        <v>156</v>
      </c>
      <c r="C45" s="11" t="n">
        <v>177112</v>
      </c>
      <c r="D45" s="11" t="n">
        <v>511375</v>
      </c>
      <c r="E45" s="11" t="n">
        <v>177112.2</v>
      </c>
      <c r="F45" s="11" t="n">
        <v>511376.7</v>
      </c>
      <c r="G45" s="23" t="n">
        <v>45215.5228472222</v>
      </c>
      <c r="H45" s="11" t="n">
        <v>3.2</v>
      </c>
      <c r="I45" s="11" t="n">
        <v>0</v>
      </c>
      <c r="J45" s="11" t="n">
        <v>0.5</v>
      </c>
      <c r="K45" s="11" t="n">
        <v>0</v>
      </c>
      <c r="L45" s="11" t="n">
        <v>1</v>
      </c>
      <c r="M45" s="11" t="n">
        <v>12</v>
      </c>
      <c r="N45" s="11" t="s">
        <v>94</v>
      </c>
      <c r="O45" s="11" t="s">
        <v>94</v>
      </c>
      <c r="P45" s="11" t="s">
        <v>94</v>
      </c>
      <c r="Q45" s="11" t="s">
        <v>94</v>
      </c>
      <c r="R45" s="11" t="s">
        <v>94</v>
      </c>
      <c r="S45" s="11" t="s">
        <v>89</v>
      </c>
      <c r="T45" s="11" t="s">
        <v>89</v>
      </c>
      <c r="U45" s="11" t="s">
        <v>89</v>
      </c>
      <c r="V45" s="11" t="s">
        <v>89</v>
      </c>
      <c r="W45" s="11" t="s">
        <v>89</v>
      </c>
      <c r="X45" s="11" t="s">
        <v>136</v>
      </c>
      <c r="Y45" s="11" t="s">
        <v>90</v>
      </c>
      <c r="Z45" s="11" t="s">
        <v>90</v>
      </c>
      <c r="AA45" s="11" t="s">
        <v>90</v>
      </c>
      <c r="AB45" s="11" t="s">
        <v>90</v>
      </c>
      <c r="AC45" s="11"/>
      <c r="AD45" s="20" t="s">
        <v>134</v>
      </c>
      <c r="AE45" s="20"/>
    </row>
    <row r="46" customFormat="false" ht="12.75" hidden="false" customHeight="false" outlineLevel="0" collapsed="false">
      <c r="A46" s="11" t="s">
        <v>132</v>
      </c>
      <c r="B46" s="11" t="s">
        <v>157</v>
      </c>
      <c r="C46" s="11" t="n">
        <v>177572</v>
      </c>
      <c r="D46" s="11" t="n">
        <v>512098</v>
      </c>
      <c r="E46" s="11" t="n">
        <v>177571.2</v>
      </c>
      <c r="F46" s="11" t="n">
        <v>512097.5</v>
      </c>
      <c r="G46" s="23" t="n">
        <v>45215.5100462963</v>
      </c>
      <c r="H46" s="11" t="n">
        <v>3.6</v>
      </c>
      <c r="I46" s="11" t="n">
        <v>0</v>
      </c>
      <c r="J46" s="11" t="n">
        <v>0</v>
      </c>
      <c r="K46" s="11" t="n">
        <v>0</v>
      </c>
      <c r="L46" s="11" t="n">
        <v>1</v>
      </c>
      <c r="M46" s="11" t="n">
        <v>12</v>
      </c>
      <c r="N46" s="11" t="s">
        <v>100</v>
      </c>
      <c r="O46" s="11" t="s">
        <v>100</v>
      </c>
      <c r="P46" s="11" t="s">
        <v>100</v>
      </c>
      <c r="Q46" s="11" t="s">
        <v>100</v>
      </c>
      <c r="R46" s="11" t="s">
        <v>100</v>
      </c>
      <c r="S46" s="11" t="s">
        <v>101</v>
      </c>
      <c r="T46" s="11" t="s">
        <v>101</v>
      </c>
      <c r="U46" s="11" t="s">
        <v>101</v>
      </c>
      <c r="V46" s="11" t="s">
        <v>89</v>
      </c>
      <c r="W46" s="11" t="s">
        <v>109</v>
      </c>
      <c r="X46" s="11" t="s">
        <v>90</v>
      </c>
      <c r="Y46" s="11" t="s">
        <v>90</v>
      </c>
      <c r="Z46" s="11" t="s">
        <v>90</v>
      </c>
      <c r="AA46" s="11" t="s">
        <v>90</v>
      </c>
      <c r="AB46" s="11" t="s">
        <v>90</v>
      </c>
      <c r="AC46" s="11"/>
      <c r="AD46" s="20" t="s">
        <v>134</v>
      </c>
      <c r="AE46" s="20"/>
    </row>
    <row r="47" customFormat="false" ht="12.75" hidden="false" customHeight="false" outlineLevel="0" collapsed="false">
      <c r="A47" s="11" t="s">
        <v>132</v>
      </c>
      <c r="B47" s="11" t="s">
        <v>158</v>
      </c>
      <c r="C47" s="11" t="n">
        <v>181000</v>
      </c>
      <c r="D47" s="11" t="n">
        <v>511500</v>
      </c>
      <c r="E47" s="11" t="n">
        <v>181000.9</v>
      </c>
      <c r="F47" s="11" t="n">
        <v>511498.2</v>
      </c>
      <c r="G47" s="23" t="n">
        <v>45215.5423958333</v>
      </c>
      <c r="H47" s="11" t="n">
        <v>2</v>
      </c>
      <c r="I47" s="11" t="n">
        <v>0</v>
      </c>
      <c r="J47" s="11" t="n">
        <v>7.5</v>
      </c>
      <c r="K47" s="11" t="n">
        <v>0</v>
      </c>
      <c r="L47" s="11" t="n">
        <v>0</v>
      </c>
      <c r="M47" s="11" t="n">
        <v>3</v>
      </c>
      <c r="N47" s="11" t="s">
        <v>116</v>
      </c>
      <c r="O47" s="11" t="s">
        <v>116</v>
      </c>
      <c r="P47" s="11" t="s">
        <v>153</v>
      </c>
      <c r="Q47" s="11" t="s">
        <v>116</v>
      </c>
      <c r="R47" s="11" t="s">
        <v>116</v>
      </c>
      <c r="S47" s="11" t="s">
        <v>104</v>
      </c>
      <c r="T47" s="11" t="s">
        <v>104</v>
      </c>
      <c r="U47" s="27" t="s">
        <v>97</v>
      </c>
      <c r="V47" s="11" t="s">
        <v>104</v>
      </c>
      <c r="W47" s="11" t="s">
        <v>110</v>
      </c>
      <c r="X47" s="11" t="s">
        <v>90</v>
      </c>
      <c r="Y47" s="11" t="s">
        <v>98</v>
      </c>
      <c r="Z47" s="11" t="s">
        <v>90</v>
      </c>
      <c r="AA47" s="11" t="s">
        <v>90</v>
      </c>
      <c r="AB47" s="11" t="s">
        <v>90</v>
      </c>
      <c r="AC47" s="11"/>
      <c r="AD47" s="20" t="s">
        <v>134</v>
      </c>
      <c r="AE47" s="20"/>
    </row>
    <row r="48" customFormat="false" ht="12.75" hidden="false" customHeight="false" outlineLevel="0" collapsed="false">
      <c r="A48" s="11" t="s">
        <v>132</v>
      </c>
      <c r="B48" s="11" t="s">
        <v>159</v>
      </c>
      <c r="C48" s="11" t="n">
        <v>182000</v>
      </c>
      <c r="D48" s="11" t="n">
        <v>511500</v>
      </c>
      <c r="E48" s="11" t="n">
        <v>182001.4</v>
      </c>
      <c r="F48" s="11" t="n">
        <v>511502.5</v>
      </c>
      <c r="G48" s="23" t="n">
        <v>45215.552662037</v>
      </c>
      <c r="H48" s="11" t="n">
        <v>2</v>
      </c>
      <c r="I48" s="11" t="n">
        <v>0.1</v>
      </c>
      <c r="J48" s="11" t="n">
        <v>125</v>
      </c>
      <c r="K48" s="11" t="n">
        <v>0</v>
      </c>
      <c r="L48" s="11" t="n">
        <v>0</v>
      </c>
      <c r="M48" s="11" t="n">
        <v>14</v>
      </c>
      <c r="N48" s="11" t="s">
        <v>103</v>
      </c>
      <c r="O48" s="11" t="s">
        <v>153</v>
      </c>
      <c r="P48" s="11" t="s">
        <v>103</v>
      </c>
      <c r="Q48" s="11" t="s">
        <v>108</v>
      </c>
      <c r="R48" s="11" t="s">
        <v>108</v>
      </c>
      <c r="S48" s="11" t="s">
        <v>110</v>
      </c>
      <c r="T48" s="11" t="s">
        <v>97</v>
      </c>
      <c r="U48" s="11" t="s">
        <v>110</v>
      </c>
      <c r="V48" s="11" t="s">
        <v>160</v>
      </c>
      <c r="W48" s="11" t="s">
        <v>160</v>
      </c>
      <c r="X48" s="11" t="s">
        <v>90</v>
      </c>
      <c r="Y48" s="11" t="s">
        <v>90</v>
      </c>
      <c r="Z48" s="11" t="s">
        <v>98</v>
      </c>
      <c r="AA48" s="11" t="s">
        <v>91</v>
      </c>
      <c r="AB48" s="11" t="s">
        <v>91</v>
      </c>
      <c r="AC48" s="11"/>
      <c r="AD48" s="20" t="s">
        <v>134</v>
      </c>
      <c r="AE48" s="20"/>
    </row>
    <row r="49" customFormat="false" ht="12.75" hidden="false" customHeight="false" outlineLevel="0" collapsed="false">
      <c r="A49" s="11" t="s">
        <v>161</v>
      </c>
      <c r="B49" s="11" t="s">
        <v>162</v>
      </c>
      <c r="C49" s="11" t="n">
        <v>186800</v>
      </c>
      <c r="D49" s="11" t="n">
        <v>506850</v>
      </c>
      <c r="E49" s="11" t="n">
        <v>186798.1</v>
      </c>
      <c r="F49" s="11" t="n">
        <v>506852</v>
      </c>
      <c r="G49" s="23" t="n">
        <v>45217.4684143519</v>
      </c>
      <c r="H49" s="11" t="n">
        <v>1.2</v>
      </c>
      <c r="I49" s="11" t="n">
        <v>0</v>
      </c>
      <c r="J49" s="11" t="n">
        <v>16</v>
      </c>
      <c r="K49" s="11" t="n">
        <v>0</v>
      </c>
      <c r="L49" s="11" t="n">
        <v>1</v>
      </c>
      <c r="M49" s="11" t="n">
        <v>2</v>
      </c>
      <c r="N49" s="11" t="s">
        <v>116</v>
      </c>
      <c r="O49" s="11" t="s">
        <v>116</v>
      </c>
      <c r="P49" s="11" t="s">
        <v>116</v>
      </c>
      <c r="Q49" s="11" t="s">
        <v>116</v>
      </c>
      <c r="R49" s="11" t="s">
        <v>116</v>
      </c>
      <c r="S49" s="11" t="s">
        <v>97</v>
      </c>
      <c r="T49" s="11" t="s">
        <v>97</v>
      </c>
      <c r="U49" s="11" t="s">
        <v>97</v>
      </c>
      <c r="V49" s="11" t="s">
        <v>97</v>
      </c>
      <c r="W49" s="11" t="s">
        <v>97</v>
      </c>
      <c r="X49" s="11" t="s">
        <v>90</v>
      </c>
      <c r="Y49" s="11" t="s">
        <v>90</v>
      </c>
      <c r="Z49" s="11" t="s">
        <v>136</v>
      </c>
      <c r="AA49" s="11" t="s">
        <v>90</v>
      </c>
      <c r="AB49" s="11" t="s">
        <v>90</v>
      </c>
      <c r="AC49" s="11" t="s">
        <v>95</v>
      </c>
      <c r="AD49" s="20" t="s">
        <v>163</v>
      </c>
      <c r="AE49" s="20"/>
    </row>
    <row r="50" customFormat="false" ht="12.75" hidden="false" customHeight="false" outlineLevel="0" collapsed="false">
      <c r="A50" s="11" t="s">
        <v>161</v>
      </c>
      <c r="B50" s="11" t="s">
        <v>164</v>
      </c>
      <c r="C50" s="11" t="n">
        <v>186450</v>
      </c>
      <c r="D50" s="11" t="n">
        <v>507500</v>
      </c>
      <c r="E50" s="11" t="n">
        <v>186450.5</v>
      </c>
      <c r="F50" s="11" t="n">
        <v>507503</v>
      </c>
      <c r="G50" s="23" t="n">
        <v>45217.4608912037</v>
      </c>
      <c r="H50" s="11" t="n">
        <v>3.2</v>
      </c>
      <c r="I50" s="11" t="n">
        <v>0</v>
      </c>
      <c r="J50" s="11" t="n">
        <v>12</v>
      </c>
      <c r="K50" s="11" t="n">
        <v>0</v>
      </c>
      <c r="L50" s="11" t="n">
        <v>0</v>
      </c>
      <c r="M50" s="11" t="n">
        <v>6</v>
      </c>
      <c r="N50" s="11" t="s">
        <v>116</v>
      </c>
      <c r="O50" s="11" t="s">
        <v>116</v>
      </c>
      <c r="P50" s="11" t="s">
        <v>116</v>
      </c>
      <c r="Q50" s="11" t="s">
        <v>116</v>
      </c>
      <c r="R50" s="11" t="s">
        <v>116</v>
      </c>
      <c r="S50" s="11" t="s">
        <v>97</v>
      </c>
      <c r="T50" s="11" t="s">
        <v>97</v>
      </c>
      <c r="U50" s="11" t="s">
        <v>97</v>
      </c>
      <c r="V50" s="11" t="s">
        <v>97</v>
      </c>
      <c r="W50" s="11" t="s">
        <v>97</v>
      </c>
      <c r="X50" s="11" t="s">
        <v>113</v>
      </c>
      <c r="Y50" s="11" t="s">
        <v>90</v>
      </c>
      <c r="Z50" s="11" t="s">
        <v>90</v>
      </c>
      <c r="AA50" s="11" t="s">
        <v>90</v>
      </c>
      <c r="AB50" s="11" t="s">
        <v>90</v>
      </c>
      <c r="AC50" s="11" t="s">
        <v>95</v>
      </c>
      <c r="AD50" s="20" t="s">
        <v>163</v>
      </c>
      <c r="AE50" s="20"/>
    </row>
    <row r="51" customFormat="false" ht="12.75" hidden="false" customHeight="false" outlineLevel="0" collapsed="false">
      <c r="A51" s="11" t="s">
        <v>161</v>
      </c>
      <c r="B51" s="11" t="s">
        <v>165</v>
      </c>
      <c r="C51" s="11" t="n">
        <v>186100</v>
      </c>
      <c r="D51" s="11" t="n">
        <v>507900</v>
      </c>
      <c r="E51" s="11" t="n">
        <v>186082.6</v>
      </c>
      <c r="F51" s="11" t="n">
        <v>507900.7</v>
      </c>
      <c r="G51" s="23" t="n">
        <v>45217.4526041667</v>
      </c>
      <c r="H51" s="11" t="n">
        <v>1</v>
      </c>
      <c r="I51" s="11" t="n">
        <v>0</v>
      </c>
      <c r="J51" s="11" t="n">
        <v>0.1</v>
      </c>
      <c r="K51" s="11" t="n">
        <v>0</v>
      </c>
      <c r="L51" s="11" t="n">
        <v>0</v>
      </c>
      <c r="M51" s="11" t="n">
        <v>5</v>
      </c>
      <c r="N51" s="11" t="s">
        <v>103</v>
      </c>
      <c r="O51" s="11" t="s">
        <v>103</v>
      </c>
      <c r="P51" s="11" t="s">
        <v>103</v>
      </c>
      <c r="Q51" s="11" t="s">
        <v>103</v>
      </c>
      <c r="R51" s="11" t="s">
        <v>103</v>
      </c>
      <c r="S51" s="11" t="s">
        <v>110</v>
      </c>
      <c r="T51" s="11" t="s">
        <v>110</v>
      </c>
      <c r="U51" s="11" t="s">
        <v>110</v>
      </c>
      <c r="V51" s="11" t="s">
        <v>110</v>
      </c>
      <c r="W51" s="11" t="s">
        <v>110</v>
      </c>
      <c r="X51" s="11" t="s">
        <v>98</v>
      </c>
      <c r="Y51" s="11" t="s">
        <v>90</v>
      </c>
      <c r="Z51" s="11" t="s">
        <v>90</v>
      </c>
      <c r="AA51" s="11" t="s">
        <v>90</v>
      </c>
      <c r="AB51" s="11" t="s">
        <v>90</v>
      </c>
      <c r="AC51" s="11"/>
      <c r="AD51" s="20" t="s">
        <v>163</v>
      </c>
      <c r="AE51" s="20" t="s">
        <v>166</v>
      </c>
    </row>
    <row r="52" customFormat="false" ht="12.75" hidden="false" customHeight="false" outlineLevel="0" collapsed="false">
      <c r="A52" s="11" t="s">
        <v>161</v>
      </c>
      <c r="B52" s="11" t="s">
        <v>167</v>
      </c>
      <c r="C52" s="11" t="n">
        <v>184650</v>
      </c>
      <c r="D52" s="11" t="n">
        <v>509450</v>
      </c>
      <c r="E52" s="11" t="n">
        <v>184678.4</v>
      </c>
      <c r="F52" s="11" t="n">
        <v>509413.4</v>
      </c>
      <c r="G52" s="23" t="n">
        <v>45217.4358796296</v>
      </c>
      <c r="H52" s="11" t="n">
        <v>0.7</v>
      </c>
      <c r="I52" s="11" t="n">
        <v>0</v>
      </c>
      <c r="J52" s="11" t="n">
        <v>2</v>
      </c>
      <c r="K52" s="11" t="n">
        <v>0</v>
      </c>
      <c r="L52" s="11" t="n">
        <v>0</v>
      </c>
      <c r="M52" s="11" t="n">
        <v>28</v>
      </c>
      <c r="N52" s="11" t="s">
        <v>108</v>
      </c>
      <c r="O52" s="11" t="s">
        <v>108</v>
      </c>
      <c r="P52" s="11" t="s">
        <v>103</v>
      </c>
      <c r="Q52" s="11" t="s">
        <v>103</v>
      </c>
      <c r="R52" s="11" t="s">
        <v>103</v>
      </c>
      <c r="S52" s="11" t="s">
        <v>104</v>
      </c>
      <c r="T52" s="11" t="s">
        <v>104</v>
      </c>
      <c r="U52" s="11" t="s">
        <v>104</v>
      </c>
      <c r="V52" s="11" t="s">
        <v>97</v>
      </c>
      <c r="W52" s="11" t="s">
        <v>97</v>
      </c>
      <c r="X52" s="11" t="s">
        <v>98</v>
      </c>
      <c r="Y52" s="11" t="s">
        <v>98</v>
      </c>
      <c r="Z52" s="11" t="s">
        <v>90</v>
      </c>
      <c r="AA52" s="11" t="s">
        <v>98</v>
      </c>
      <c r="AB52" s="11" t="s">
        <v>98</v>
      </c>
      <c r="AC52" s="11"/>
      <c r="AD52" s="20" t="s">
        <v>163</v>
      </c>
      <c r="AE52" s="20" t="s">
        <v>166</v>
      </c>
    </row>
    <row r="53" customFormat="false" ht="12.75" hidden="false" customHeight="false" outlineLevel="0" collapsed="false">
      <c r="A53" s="11" t="s">
        <v>161</v>
      </c>
      <c r="B53" s="11" t="s">
        <v>168</v>
      </c>
      <c r="C53" s="11" t="n">
        <v>183800</v>
      </c>
      <c r="D53" s="11" t="n">
        <v>510500</v>
      </c>
      <c r="E53" s="11" t="n">
        <v>183922.6</v>
      </c>
      <c r="F53" s="11" t="n">
        <v>510195.9</v>
      </c>
      <c r="G53" s="23" t="n">
        <v>45217.4133449074</v>
      </c>
      <c r="H53" s="11" t="n">
        <v>1.1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3</v>
      </c>
      <c r="N53" s="11" t="s">
        <v>108</v>
      </c>
      <c r="O53" s="11" t="s">
        <v>108</v>
      </c>
      <c r="P53" s="11" t="s">
        <v>103</v>
      </c>
      <c r="Q53" s="11" t="s">
        <v>100</v>
      </c>
      <c r="R53" s="11" t="s">
        <v>88</v>
      </c>
      <c r="S53" s="11" t="s">
        <v>160</v>
      </c>
      <c r="T53" s="11" t="s">
        <v>160</v>
      </c>
      <c r="U53" s="11" t="s">
        <v>89</v>
      </c>
      <c r="V53" s="11" t="s">
        <v>101</v>
      </c>
      <c r="W53" s="11" t="s">
        <v>109</v>
      </c>
      <c r="X53" s="11" t="s">
        <v>90</v>
      </c>
      <c r="Y53" s="11" t="s">
        <v>90</v>
      </c>
      <c r="Z53" s="11" t="s">
        <v>90</v>
      </c>
      <c r="AA53" s="11" t="s">
        <v>90</v>
      </c>
      <c r="AB53" s="11" t="s">
        <v>90</v>
      </c>
      <c r="AC53" s="11"/>
      <c r="AD53" s="20" t="s">
        <v>163</v>
      </c>
      <c r="AE53" s="20" t="s">
        <v>166</v>
      </c>
    </row>
    <row r="54" customFormat="false" ht="12.75" hidden="false" customHeight="false" outlineLevel="0" collapsed="false">
      <c r="A54" s="11" t="s">
        <v>161</v>
      </c>
      <c r="B54" s="11" t="s">
        <v>169</v>
      </c>
      <c r="C54" s="11" t="n">
        <v>183000</v>
      </c>
      <c r="D54" s="11" t="n">
        <v>510500</v>
      </c>
      <c r="E54" s="11" t="n">
        <v>182998.1</v>
      </c>
      <c r="F54" s="11" t="n">
        <v>510501.1</v>
      </c>
      <c r="G54" s="23" t="n">
        <v>45217.37875</v>
      </c>
      <c r="H54" s="11" t="n">
        <v>0.4</v>
      </c>
      <c r="I54" s="11" t="n">
        <v>0</v>
      </c>
      <c r="J54" s="11" t="n">
        <v>1.6</v>
      </c>
      <c r="K54" s="11" t="n">
        <v>0</v>
      </c>
      <c r="L54" s="11" t="n">
        <v>0</v>
      </c>
      <c r="M54" s="11" t="n">
        <v>113</v>
      </c>
      <c r="N54" s="11" t="s">
        <v>108</v>
      </c>
      <c r="O54" s="11" t="s">
        <v>108</v>
      </c>
      <c r="P54" s="11" t="s">
        <v>108</v>
      </c>
      <c r="Q54" s="11" t="s">
        <v>108</v>
      </c>
      <c r="R54" s="11" t="s">
        <v>108</v>
      </c>
      <c r="S54" s="11" t="s">
        <v>110</v>
      </c>
      <c r="T54" s="11" t="s">
        <v>110</v>
      </c>
      <c r="U54" s="11" t="s">
        <v>110</v>
      </c>
      <c r="V54" s="11" t="s">
        <v>110</v>
      </c>
      <c r="W54" s="11" t="s">
        <v>110</v>
      </c>
      <c r="X54" s="11" t="s">
        <v>98</v>
      </c>
      <c r="Y54" s="11" t="s">
        <v>98</v>
      </c>
      <c r="Z54" s="11" t="s">
        <v>90</v>
      </c>
      <c r="AA54" s="11" t="s">
        <v>90</v>
      </c>
      <c r="AB54" s="11" t="s">
        <v>90</v>
      </c>
      <c r="AC54" s="11" t="s">
        <v>95</v>
      </c>
      <c r="AD54" s="20" t="s">
        <v>163</v>
      </c>
      <c r="AE54" s="20"/>
    </row>
    <row r="55" customFormat="false" ht="12.75" hidden="false" customHeight="false" outlineLevel="0" collapsed="false">
      <c r="A55" s="11" t="s">
        <v>161</v>
      </c>
      <c r="B55" s="11" t="s">
        <v>170</v>
      </c>
      <c r="C55" s="11" t="n">
        <v>182200</v>
      </c>
      <c r="D55" s="11" t="n">
        <v>510600</v>
      </c>
      <c r="E55" s="11" t="n">
        <v>182200.6</v>
      </c>
      <c r="F55" s="11" t="n">
        <v>510600.6</v>
      </c>
      <c r="G55" s="23" t="n">
        <v>45217.3708101852</v>
      </c>
      <c r="H55" s="11" t="n">
        <v>1</v>
      </c>
      <c r="I55" s="11" t="n">
        <v>40</v>
      </c>
      <c r="J55" s="11" t="n">
        <v>140</v>
      </c>
      <c r="K55" s="11" t="n">
        <v>0</v>
      </c>
      <c r="L55" s="11" t="n">
        <v>0</v>
      </c>
      <c r="M55" s="11" t="n">
        <v>21</v>
      </c>
      <c r="N55" s="11" t="s">
        <v>116</v>
      </c>
      <c r="O55" s="11" t="s">
        <v>94</v>
      </c>
      <c r="P55" s="11" t="s">
        <v>94</v>
      </c>
      <c r="Q55" s="11" t="s">
        <v>94</v>
      </c>
      <c r="R55" s="11" t="s">
        <v>116</v>
      </c>
      <c r="S55" s="11" t="s">
        <v>104</v>
      </c>
      <c r="T55" s="11" t="s">
        <v>104</v>
      </c>
      <c r="U55" s="11" t="s">
        <v>97</v>
      </c>
      <c r="V55" s="11" t="s">
        <v>97</v>
      </c>
      <c r="W55" s="11" t="s">
        <v>104</v>
      </c>
      <c r="X55" s="11" t="s">
        <v>91</v>
      </c>
      <c r="Y55" s="11" t="s">
        <v>91</v>
      </c>
      <c r="Z55" s="11" t="s">
        <v>91</v>
      </c>
      <c r="AA55" s="11" t="s">
        <v>91</v>
      </c>
      <c r="AB55" s="11" t="s">
        <v>91</v>
      </c>
      <c r="AC55" s="11" t="s">
        <v>95</v>
      </c>
      <c r="AD55" s="20" t="s">
        <v>163</v>
      </c>
      <c r="AE55" s="20"/>
    </row>
    <row r="56" customFormat="false" ht="12.75" hidden="false" customHeight="false" outlineLevel="0" collapsed="false">
      <c r="A56" s="11" t="s">
        <v>161</v>
      </c>
      <c r="B56" s="11" t="s">
        <v>171</v>
      </c>
      <c r="C56" s="11" t="n">
        <v>187073</v>
      </c>
      <c r="D56" s="11" t="n">
        <v>505110</v>
      </c>
      <c r="E56" s="11" t="n">
        <v>187025.4</v>
      </c>
      <c r="F56" s="11" t="n">
        <v>505560.2</v>
      </c>
      <c r="G56" s="23" t="n">
        <v>45217.4993634259</v>
      </c>
      <c r="H56" s="11" t="n">
        <v>1.2</v>
      </c>
      <c r="I56" s="11" t="n">
        <v>0</v>
      </c>
      <c r="J56" s="11" t="n">
        <v>0.1</v>
      </c>
      <c r="K56" s="11" t="n">
        <v>0</v>
      </c>
      <c r="L56" s="11" t="n">
        <v>0</v>
      </c>
      <c r="M56" s="11" t="n">
        <v>2</v>
      </c>
      <c r="N56" s="11" t="s">
        <v>103</v>
      </c>
      <c r="O56" s="11" t="s">
        <v>103</v>
      </c>
      <c r="P56" s="11" t="s">
        <v>172</v>
      </c>
      <c r="Q56" s="11" t="s">
        <v>103</v>
      </c>
      <c r="R56" s="11" t="s">
        <v>103</v>
      </c>
      <c r="S56" s="11" t="s">
        <v>104</v>
      </c>
      <c r="T56" s="11" t="s">
        <v>104</v>
      </c>
      <c r="U56" s="11" t="s">
        <v>104</v>
      </c>
      <c r="V56" s="11" t="s">
        <v>104</v>
      </c>
      <c r="W56" s="11" t="s">
        <v>104</v>
      </c>
      <c r="X56" s="11" t="s">
        <v>136</v>
      </c>
      <c r="Y56" s="11" t="s">
        <v>90</v>
      </c>
      <c r="Z56" s="11" t="s">
        <v>90</v>
      </c>
      <c r="AA56" s="11" t="s">
        <v>90</v>
      </c>
      <c r="AB56" s="11" t="s">
        <v>90</v>
      </c>
      <c r="AC56" s="11"/>
      <c r="AD56" s="20" t="s">
        <v>163</v>
      </c>
      <c r="AE56" s="20" t="s">
        <v>166</v>
      </c>
    </row>
    <row r="57" customFormat="false" ht="12.75" hidden="false" customHeight="false" outlineLevel="0" collapsed="false">
      <c r="A57" s="11" t="s">
        <v>161</v>
      </c>
      <c r="B57" s="11" t="s">
        <v>173</v>
      </c>
      <c r="C57" s="11" t="n">
        <v>186932</v>
      </c>
      <c r="D57" s="11" t="n">
        <v>504722</v>
      </c>
      <c r="E57" s="11" t="n">
        <v>186937.7</v>
      </c>
      <c r="F57" s="11" t="n">
        <v>504726.9</v>
      </c>
      <c r="G57" s="23" t="n">
        <v>45217.5097685185</v>
      </c>
      <c r="H57" s="11" t="n">
        <v>2.4</v>
      </c>
      <c r="I57" s="11" t="n">
        <v>0</v>
      </c>
      <c r="J57" s="11" t="n">
        <v>2</v>
      </c>
      <c r="K57" s="11" t="n">
        <v>0</v>
      </c>
      <c r="L57" s="11" t="n">
        <v>0</v>
      </c>
      <c r="M57" s="11" t="n">
        <v>7</v>
      </c>
      <c r="N57" s="11" t="s">
        <v>108</v>
      </c>
      <c r="O57" s="11" t="s">
        <v>103</v>
      </c>
      <c r="P57" s="11" t="s">
        <v>103</v>
      </c>
      <c r="Q57" s="11" t="s">
        <v>103</v>
      </c>
      <c r="R57" s="11" t="s">
        <v>94</v>
      </c>
      <c r="S57" s="11" t="s">
        <v>110</v>
      </c>
      <c r="T57" s="11" t="s">
        <v>104</v>
      </c>
      <c r="U57" s="11" t="s">
        <v>104</v>
      </c>
      <c r="V57" s="11" t="s">
        <v>104</v>
      </c>
      <c r="W57" s="11" t="s">
        <v>97</v>
      </c>
      <c r="X57" s="11" t="s">
        <v>98</v>
      </c>
      <c r="Y57" s="11" t="s">
        <v>98</v>
      </c>
      <c r="Z57" s="11" t="s">
        <v>90</v>
      </c>
      <c r="AA57" s="11" t="s">
        <v>90</v>
      </c>
      <c r="AB57" s="11" t="s">
        <v>90</v>
      </c>
      <c r="AC57" s="11"/>
      <c r="AD57" s="20" t="s">
        <v>163</v>
      </c>
      <c r="AE57" s="20"/>
    </row>
    <row r="58" customFormat="false" ht="12.75" hidden="false" customHeight="false" outlineLevel="0" collapsed="false">
      <c r="A58" s="11" t="s">
        <v>161</v>
      </c>
      <c r="B58" s="11" t="s">
        <v>174</v>
      </c>
      <c r="C58" s="11" t="n">
        <v>186945</v>
      </c>
      <c r="D58" s="11" t="n">
        <v>505953</v>
      </c>
      <c r="E58" s="11" t="n">
        <v>186946.3</v>
      </c>
      <c r="F58" s="11" t="n">
        <v>505953.8</v>
      </c>
      <c r="G58" s="23" t="n">
        <v>45217.4818171296</v>
      </c>
      <c r="H58" s="11" t="n">
        <v>2.4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s">
        <v>116</v>
      </c>
      <c r="O58" s="11" t="s">
        <v>116</v>
      </c>
      <c r="P58" s="11" t="s">
        <v>116</v>
      </c>
      <c r="Q58" s="11" t="s">
        <v>116</v>
      </c>
      <c r="R58" s="11" t="s">
        <v>116</v>
      </c>
      <c r="S58" s="11" t="s">
        <v>97</v>
      </c>
      <c r="T58" s="11" t="s">
        <v>97</v>
      </c>
      <c r="U58" s="11" t="s">
        <v>97</v>
      </c>
      <c r="V58" s="11" t="s">
        <v>97</v>
      </c>
      <c r="W58" s="11" t="s">
        <v>97</v>
      </c>
      <c r="X58" s="11" t="s">
        <v>90</v>
      </c>
      <c r="Y58" s="11" t="s">
        <v>90</v>
      </c>
      <c r="Z58" s="11" t="s">
        <v>90</v>
      </c>
      <c r="AA58" s="11" t="s">
        <v>90</v>
      </c>
      <c r="AB58" s="11" t="s">
        <v>90</v>
      </c>
      <c r="AC58" s="11"/>
      <c r="AD58" s="20" t="s">
        <v>163</v>
      </c>
      <c r="AE58" s="20"/>
    </row>
    <row r="59" customFormat="false" ht="12.75" hidden="false" customHeight="false" outlineLevel="0" collapsed="false">
      <c r="A59" s="15" t="s">
        <v>175</v>
      </c>
      <c r="B59" s="15" t="s">
        <v>176</v>
      </c>
      <c r="C59" s="15" t="n">
        <v>184938</v>
      </c>
      <c r="D59" s="15" t="n">
        <v>497208</v>
      </c>
      <c r="E59" s="28" t="n">
        <v>184937.6</v>
      </c>
      <c r="F59" s="28" t="n">
        <v>497209.2</v>
      </c>
      <c r="G59" s="23" t="n">
        <v>45222.4341087963</v>
      </c>
      <c r="H59" s="15" t="n">
        <v>0.6</v>
      </c>
      <c r="I59" s="15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5" t="s">
        <v>103</v>
      </c>
      <c r="O59" s="15" t="s">
        <v>103</v>
      </c>
      <c r="P59" s="15" t="s">
        <v>103</v>
      </c>
      <c r="Q59" s="15" t="s">
        <v>103</v>
      </c>
      <c r="R59" s="15" t="s">
        <v>103</v>
      </c>
      <c r="S59" s="15" t="s">
        <v>97</v>
      </c>
      <c r="T59" s="15" t="s">
        <v>104</v>
      </c>
      <c r="U59" s="15" t="s">
        <v>97</v>
      </c>
      <c r="V59" s="15" t="s">
        <v>97</v>
      </c>
      <c r="W59" s="15" t="s">
        <v>104</v>
      </c>
      <c r="X59" s="15" t="s">
        <v>90</v>
      </c>
      <c r="Y59" s="15" t="s">
        <v>90</v>
      </c>
      <c r="Z59" s="15" t="s">
        <v>90</v>
      </c>
      <c r="AA59" s="15" t="s">
        <v>90</v>
      </c>
      <c r="AB59" s="15" t="s">
        <v>90</v>
      </c>
      <c r="AC59" s="24"/>
      <c r="AD59" s="18" t="s">
        <v>177</v>
      </c>
      <c r="AE59" s="25"/>
    </row>
    <row r="60" customFormat="false" ht="12.75" hidden="false" customHeight="false" outlineLevel="0" collapsed="false">
      <c r="A60" s="11" t="s">
        <v>175</v>
      </c>
      <c r="B60" s="11" t="s">
        <v>178</v>
      </c>
      <c r="C60" s="11" t="n">
        <v>185628</v>
      </c>
      <c r="D60" s="11" t="n">
        <v>498077</v>
      </c>
      <c r="E60" s="29" t="n">
        <v>185623.2</v>
      </c>
      <c r="F60" s="29" t="n">
        <v>498080.1</v>
      </c>
      <c r="G60" s="23" t="n">
        <v>45222.424837963</v>
      </c>
      <c r="H60" s="11" t="n">
        <v>0.6</v>
      </c>
      <c r="I60" s="11" t="n">
        <v>1.1</v>
      </c>
      <c r="J60" s="11" t="n">
        <v>0.75</v>
      </c>
      <c r="K60" s="11" t="n">
        <v>0</v>
      </c>
      <c r="L60" s="11" t="n">
        <v>0</v>
      </c>
      <c r="M60" s="11" t="n">
        <v>3</v>
      </c>
      <c r="N60" s="11" t="s">
        <v>108</v>
      </c>
      <c r="O60" s="11" t="s">
        <v>108</v>
      </c>
      <c r="P60" s="11" t="s">
        <v>108</v>
      </c>
      <c r="Q60" s="11" t="s">
        <v>108</v>
      </c>
      <c r="R60" s="11" t="s">
        <v>108</v>
      </c>
      <c r="S60" s="11" t="s">
        <v>104</v>
      </c>
      <c r="T60" s="11" t="s">
        <v>104</v>
      </c>
      <c r="U60" s="11" t="s">
        <v>104</v>
      </c>
      <c r="V60" s="11" t="s">
        <v>104</v>
      </c>
      <c r="W60" s="11" t="s">
        <v>104</v>
      </c>
      <c r="X60" s="11" t="s">
        <v>136</v>
      </c>
      <c r="Y60" s="11" t="s">
        <v>179</v>
      </c>
      <c r="Z60" s="11" t="s">
        <v>98</v>
      </c>
      <c r="AA60" s="11" t="s">
        <v>90</v>
      </c>
      <c r="AB60" s="11" t="s">
        <v>90</v>
      </c>
      <c r="AC60" s="11" t="s">
        <v>95</v>
      </c>
      <c r="AD60" s="20" t="s">
        <v>177</v>
      </c>
      <c r="AE60" s="20" t="s">
        <v>124</v>
      </c>
    </row>
    <row r="61" customFormat="false" ht="12.75" hidden="false" customHeight="false" outlineLevel="0" collapsed="false">
      <c r="A61" s="11" t="s">
        <v>175</v>
      </c>
      <c r="B61" s="11" t="s">
        <v>180</v>
      </c>
      <c r="C61" s="11" t="n">
        <v>185371</v>
      </c>
      <c r="D61" s="11" t="n">
        <v>498580</v>
      </c>
      <c r="E61" s="29" t="n">
        <v>185371</v>
      </c>
      <c r="F61" s="29" t="n">
        <v>498577.8</v>
      </c>
      <c r="G61" s="23" t="n">
        <v>45222.4180555556</v>
      </c>
      <c r="H61" s="11" t="n">
        <v>0.8</v>
      </c>
      <c r="I61" s="11" t="n">
        <v>0.3</v>
      </c>
      <c r="J61" s="11" t="n">
        <v>0</v>
      </c>
      <c r="K61" s="11" t="n">
        <v>0</v>
      </c>
      <c r="L61" s="11" t="n">
        <v>0</v>
      </c>
      <c r="M61" s="11" t="n">
        <v>0</v>
      </c>
      <c r="N61" s="11" t="s">
        <v>108</v>
      </c>
      <c r="O61" s="11" t="s">
        <v>108</v>
      </c>
      <c r="P61" s="11" t="s">
        <v>108</v>
      </c>
      <c r="Q61" s="11" t="s">
        <v>108</v>
      </c>
      <c r="R61" s="11" t="s">
        <v>108</v>
      </c>
      <c r="S61" s="11" t="s">
        <v>104</v>
      </c>
      <c r="T61" s="11" t="s">
        <v>104</v>
      </c>
      <c r="U61" s="11" t="s">
        <v>104</v>
      </c>
      <c r="V61" s="11" t="s">
        <v>104</v>
      </c>
      <c r="W61" s="11" t="s">
        <v>104</v>
      </c>
      <c r="X61" s="11" t="s">
        <v>90</v>
      </c>
      <c r="Y61" s="11" t="s">
        <v>90</v>
      </c>
      <c r="Z61" s="11" t="s">
        <v>90</v>
      </c>
      <c r="AA61" s="11" t="s">
        <v>90</v>
      </c>
      <c r="AB61" s="11" t="s">
        <v>179</v>
      </c>
      <c r="AC61" s="11" t="s">
        <v>95</v>
      </c>
      <c r="AD61" s="20" t="s">
        <v>177</v>
      </c>
      <c r="AE61" s="20" t="s">
        <v>124</v>
      </c>
    </row>
    <row r="62" customFormat="false" ht="12.75" hidden="false" customHeight="false" outlineLevel="0" collapsed="false">
      <c r="A62" s="11" t="s">
        <v>175</v>
      </c>
      <c r="B62" s="11" t="s">
        <v>181</v>
      </c>
      <c r="C62" s="11" t="n">
        <v>186074</v>
      </c>
      <c r="D62" s="11" t="n">
        <v>499449</v>
      </c>
      <c r="E62" s="29" t="n">
        <v>185798.6</v>
      </c>
      <c r="F62" s="29" t="n">
        <v>499419.9</v>
      </c>
      <c r="G62" s="23" t="n">
        <v>45222.4090740741</v>
      </c>
      <c r="H62" s="11" t="n">
        <v>0.5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s">
        <v>108</v>
      </c>
      <c r="O62" s="11" t="s">
        <v>108</v>
      </c>
      <c r="P62" s="11" t="s">
        <v>108</v>
      </c>
      <c r="Q62" s="11" t="s">
        <v>108</v>
      </c>
      <c r="R62" s="11" t="s">
        <v>108</v>
      </c>
      <c r="S62" s="11" t="s">
        <v>104</v>
      </c>
      <c r="T62" s="11" t="s">
        <v>104</v>
      </c>
      <c r="U62" s="11" t="s">
        <v>104</v>
      </c>
      <c r="V62" s="11" t="s">
        <v>104</v>
      </c>
      <c r="W62" s="11" t="s">
        <v>104</v>
      </c>
      <c r="X62" s="11" t="s">
        <v>90</v>
      </c>
      <c r="Y62" s="11" t="s">
        <v>90</v>
      </c>
      <c r="Z62" s="11" t="s">
        <v>90</v>
      </c>
      <c r="AA62" s="11" t="s">
        <v>90</v>
      </c>
      <c r="AB62" s="11" t="s">
        <v>90</v>
      </c>
      <c r="AC62" s="11"/>
      <c r="AD62" s="20" t="s">
        <v>177</v>
      </c>
      <c r="AE62" s="20" t="s">
        <v>182</v>
      </c>
    </row>
    <row r="63" customFormat="false" ht="12.75" hidden="false" customHeight="false" outlineLevel="0" collapsed="false">
      <c r="A63" s="11" t="s">
        <v>175</v>
      </c>
      <c r="B63" s="11" t="s">
        <v>183</v>
      </c>
      <c r="C63" s="11" t="n">
        <v>186276</v>
      </c>
      <c r="D63" s="11" t="n">
        <v>500485</v>
      </c>
      <c r="E63" s="29" t="n">
        <v>186276.7</v>
      </c>
      <c r="F63" s="29" t="n">
        <v>500487.6</v>
      </c>
      <c r="G63" s="23" t="n">
        <v>45222.3918055556</v>
      </c>
      <c r="H63" s="11" t="n">
        <v>1.3</v>
      </c>
      <c r="I63" s="11" t="n">
        <v>0.2</v>
      </c>
      <c r="J63" s="11" t="n">
        <v>0.05</v>
      </c>
      <c r="K63" s="11" t="n">
        <v>0</v>
      </c>
      <c r="L63" s="11" t="n">
        <v>0</v>
      </c>
      <c r="M63" s="11" t="n">
        <v>15</v>
      </c>
      <c r="N63" s="11" t="s">
        <v>103</v>
      </c>
      <c r="O63" s="11" t="s">
        <v>103</v>
      </c>
      <c r="P63" s="11" t="s">
        <v>103</v>
      </c>
      <c r="Q63" s="11" t="s">
        <v>103</v>
      </c>
      <c r="R63" s="11" t="s">
        <v>103</v>
      </c>
      <c r="S63" s="11" t="s">
        <v>104</v>
      </c>
      <c r="T63" s="11" t="s">
        <v>104</v>
      </c>
      <c r="U63" s="11" t="s">
        <v>104</v>
      </c>
      <c r="V63" s="11" t="s">
        <v>104</v>
      </c>
      <c r="W63" s="11" t="s">
        <v>104</v>
      </c>
      <c r="X63" s="11" t="s">
        <v>98</v>
      </c>
      <c r="Y63" s="11" t="s">
        <v>98</v>
      </c>
      <c r="Z63" s="11" t="s">
        <v>98</v>
      </c>
      <c r="AA63" s="11" t="s">
        <v>90</v>
      </c>
      <c r="AB63" s="11" t="s">
        <v>90</v>
      </c>
      <c r="AC63" s="11" t="s">
        <v>95</v>
      </c>
      <c r="AD63" s="20" t="s">
        <v>177</v>
      </c>
      <c r="AE63" s="20"/>
    </row>
    <row r="64" customFormat="false" ht="12.75" hidden="false" customHeight="false" outlineLevel="0" collapsed="false">
      <c r="A64" s="11" t="s">
        <v>175</v>
      </c>
      <c r="B64" s="11" t="s">
        <v>184</v>
      </c>
      <c r="C64" s="11" t="n">
        <v>186901</v>
      </c>
      <c r="D64" s="11" t="n">
        <v>502089</v>
      </c>
      <c r="E64" s="29" t="n">
        <v>186898.5</v>
      </c>
      <c r="F64" s="29" t="n">
        <v>502091.3</v>
      </c>
      <c r="G64" s="23" t="n">
        <v>45222.3802893519</v>
      </c>
      <c r="H64" s="11" t="n">
        <v>0.6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s">
        <v>103</v>
      </c>
      <c r="O64" s="11" t="s">
        <v>103</v>
      </c>
      <c r="P64" s="11" t="s">
        <v>103</v>
      </c>
      <c r="Q64" s="11" t="s">
        <v>103</v>
      </c>
      <c r="R64" s="11" t="s">
        <v>103</v>
      </c>
      <c r="S64" s="11" t="s">
        <v>104</v>
      </c>
      <c r="T64" s="11" t="s">
        <v>104</v>
      </c>
      <c r="U64" s="11" t="s">
        <v>104</v>
      </c>
      <c r="V64" s="11" t="s">
        <v>104</v>
      </c>
      <c r="W64" s="11" t="s">
        <v>104</v>
      </c>
      <c r="X64" s="11" t="s">
        <v>90</v>
      </c>
      <c r="Y64" s="11" t="s">
        <v>90</v>
      </c>
      <c r="Z64" s="11" t="s">
        <v>90</v>
      </c>
      <c r="AA64" s="11" t="s">
        <v>90</v>
      </c>
      <c r="AB64" s="11" t="s">
        <v>90</v>
      </c>
      <c r="AC64" s="11"/>
      <c r="AD64" s="20" t="s">
        <v>177</v>
      </c>
      <c r="AE64" s="20"/>
    </row>
    <row r="65" customFormat="false" ht="12.75" hidden="false" customHeight="false" outlineLevel="0" collapsed="false">
      <c r="A65" s="11" t="s">
        <v>175</v>
      </c>
      <c r="B65" s="11" t="s">
        <v>185</v>
      </c>
      <c r="C65" s="11" t="n">
        <v>186877</v>
      </c>
      <c r="D65" s="11" t="n">
        <v>502856</v>
      </c>
      <c r="E65" s="29" t="n">
        <v>186875.4</v>
      </c>
      <c r="F65" s="29" t="n">
        <v>502859</v>
      </c>
      <c r="G65" s="23" t="n">
        <v>45222.3704166667</v>
      </c>
      <c r="H65" s="11" t="n">
        <v>2.8</v>
      </c>
      <c r="I65" s="11" t="n">
        <v>0.4</v>
      </c>
      <c r="J65" s="11" t="n">
        <v>0</v>
      </c>
      <c r="K65" s="11" t="n">
        <v>0</v>
      </c>
      <c r="L65" s="11" t="n">
        <v>0</v>
      </c>
      <c r="M65" s="11" t="n">
        <v>6</v>
      </c>
      <c r="N65" s="11" t="s">
        <v>108</v>
      </c>
      <c r="O65" s="11" t="s">
        <v>186</v>
      </c>
      <c r="P65" s="11" t="s">
        <v>186</v>
      </c>
      <c r="Q65" s="11" t="s">
        <v>116</v>
      </c>
      <c r="R65" s="11" t="s">
        <v>116</v>
      </c>
      <c r="S65" s="11" t="s">
        <v>104</v>
      </c>
      <c r="T65" s="11" t="s">
        <v>97</v>
      </c>
      <c r="U65" s="11" t="s">
        <v>97</v>
      </c>
      <c r="V65" s="11" t="s">
        <v>97</v>
      </c>
      <c r="W65" s="11" t="s">
        <v>97</v>
      </c>
      <c r="X65" s="11" t="s">
        <v>90</v>
      </c>
      <c r="Y65" s="11" t="s">
        <v>98</v>
      </c>
      <c r="Z65" s="11" t="s">
        <v>98</v>
      </c>
      <c r="AA65" s="11" t="s">
        <v>90</v>
      </c>
      <c r="AB65" s="11" t="s">
        <v>90</v>
      </c>
      <c r="AC65" s="11" t="s">
        <v>95</v>
      </c>
      <c r="AD65" s="20" t="s">
        <v>177</v>
      </c>
      <c r="AE65" s="20"/>
    </row>
    <row r="66" customFormat="false" ht="12.75" hidden="false" customHeight="false" outlineLevel="0" collapsed="false">
      <c r="A66" s="11" t="s">
        <v>175</v>
      </c>
      <c r="B66" s="11" t="s">
        <v>187</v>
      </c>
      <c r="C66" s="11" t="n">
        <v>187203</v>
      </c>
      <c r="D66" s="11" t="n">
        <v>503289</v>
      </c>
      <c r="E66" s="29" t="n">
        <v>187191.7</v>
      </c>
      <c r="F66" s="29" t="n">
        <v>503288.1</v>
      </c>
      <c r="G66" s="23" t="n">
        <v>45222.3551388889</v>
      </c>
      <c r="H66" s="11" t="n">
        <v>0.8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s">
        <v>103</v>
      </c>
      <c r="O66" s="11" t="s">
        <v>103</v>
      </c>
      <c r="P66" s="11" t="s">
        <v>103</v>
      </c>
      <c r="Q66" s="11" t="s">
        <v>108</v>
      </c>
      <c r="R66" s="11" t="s">
        <v>108</v>
      </c>
      <c r="S66" s="11" t="s">
        <v>104</v>
      </c>
      <c r="T66" s="11" t="s">
        <v>104</v>
      </c>
      <c r="U66" s="11" t="s">
        <v>104</v>
      </c>
      <c r="V66" s="11" t="s">
        <v>104</v>
      </c>
      <c r="W66" s="11" t="s">
        <v>104</v>
      </c>
      <c r="X66" s="11" t="s">
        <v>90</v>
      </c>
      <c r="Y66" s="11" t="s">
        <v>90</v>
      </c>
      <c r="Z66" s="11" t="s">
        <v>90</v>
      </c>
      <c r="AA66" s="11" t="s">
        <v>90</v>
      </c>
      <c r="AB66" s="11" t="s">
        <v>90</v>
      </c>
      <c r="AC66" s="11"/>
      <c r="AD66" s="20" t="s">
        <v>177</v>
      </c>
      <c r="AE66" s="20" t="s">
        <v>182</v>
      </c>
    </row>
    <row r="67" customFormat="false" ht="12.75" hidden="false" customHeight="false" outlineLevel="0" collapsed="false">
      <c r="A67" s="11" t="s">
        <v>188</v>
      </c>
      <c r="B67" s="11" t="s">
        <v>189</v>
      </c>
      <c r="C67" s="11" t="n">
        <v>171136</v>
      </c>
      <c r="D67" s="11" t="n">
        <v>485733</v>
      </c>
      <c r="E67" s="29" t="n">
        <v>171129.7</v>
      </c>
      <c r="F67" s="29" t="n">
        <v>485796.7</v>
      </c>
      <c r="G67" s="23" t="n">
        <v>45223.4668634259</v>
      </c>
      <c r="H67" s="11" t="n">
        <v>2.3</v>
      </c>
      <c r="I67" s="11" t="n">
        <v>5</v>
      </c>
      <c r="J67" s="11" t="n">
        <v>0</v>
      </c>
      <c r="K67" s="11" t="n">
        <v>0</v>
      </c>
      <c r="L67" s="11" t="n">
        <v>0</v>
      </c>
      <c r="M67" s="11" t="n">
        <v>1</v>
      </c>
      <c r="N67" s="11" t="s">
        <v>94</v>
      </c>
      <c r="O67" s="11" t="s">
        <v>94</v>
      </c>
      <c r="P67" s="11" t="s">
        <v>94</v>
      </c>
      <c r="Q67" s="11" t="s">
        <v>94</v>
      </c>
      <c r="R67" s="11" t="s">
        <v>94</v>
      </c>
      <c r="S67" s="11" t="s">
        <v>97</v>
      </c>
      <c r="T67" s="11" t="s">
        <v>97</v>
      </c>
      <c r="U67" s="11" t="s">
        <v>97</v>
      </c>
      <c r="V67" s="11" t="s">
        <v>97</v>
      </c>
      <c r="W67" s="11" t="s">
        <v>97</v>
      </c>
      <c r="X67" s="11" t="s">
        <v>90</v>
      </c>
      <c r="Y67" s="11" t="s">
        <v>90</v>
      </c>
      <c r="Z67" s="11" t="s">
        <v>98</v>
      </c>
      <c r="AA67" s="11" t="s">
        <v>98</v>
      </c>
      <c r="AB67" s="11" t="s">
        <v>90</v>
      </c>
      <c r="AC67" s="9"/>
      <c r="AD67" s="20" t="s">
        <v>190</v>
      </c>
      <c r="AE67" s="13" t="s">
        <v>191</v>
      </c>
    </row>
    <row r="68" customFormat="false" ht="12.75" hidden="false" customHeight="false" outlineLevel="0" collapsed="false">
      <c r="A68" s="11" t="s">
        <v>188</v>
      </c>
      <c r="B68" s="11" t="s">
        <v>192</v>
      </c>
      <c r="C68" s="11" t="n">
        <v>171283</v>
      </c>
      <c r="D68" s="11" t="n">
        <v>486681</v>
      </c>
      <c r="E68" s="29" t="n">
        <v>171286.3</v>
      </c>
      <c r="F68" s="29" t="n">
        <v>486679.7</v>
      </c>
      <c r="G68" s="23" t="n">
        <v>45231.342650463</v>
      </c>
      <c r="H68" s="11" t="n">
        <v>3.9</v>
      </c>
      <c r="I68" s="11" t="n">
        <v>3</v>
      </c>
      <c r="J68" s="10" t="n">
        <v>60</v>
      </c>
      <c r="K68" s="11" t="n">
        <v>0</v>
      </c>
      <c r="L68" s="11" t="n">
        <v>0</v>
      </c>
      <c r="M68" s="11" t="n">
        <v>0</v>
      </c>
      <c r="N68" s="11" t="s">
        <v>94</v>
      </c>
      <c r="O68" s="9" t="s">
        <v>94</v>
      </c>
      <c r="P68" s="26" t="s">
        <v>100</v>
      </c>
      <c r="Q68" s="10" t="s">
        <v>94</v>
      </c>
      <c r="R68" s="11" t="s">
        <v>94</v>
      </c>
      <c r="S68" s="11" t="s">
        <v>89</v>
      </c>
      <c r="T68" s="11" t="s">
        <v>89</v>
      </c>
      <c r="U68" s="11" t="s">
        <v>89</v>
      </c>
      <c r="V68" s="11" t="s">
        <v>89</v>
      </c>
      <c r="W68" s="11" t="s">
        <v>89</v>
      </c>
      <c r="X68" s="11" t="s">
        <v>91</v>
      </c>
      <c r="Y68" s="11" t="s">
        <v>90</v>
      </c>
      <c r="Z68" s="11" t="s">
        <v>91</v>
      </c>
      <c r="AA68" s="11" t="s">
        <v>90</v>
      </c>
      <c r="AB68" s="11" t="s">
        <v>90</v>
      </c>
      <c r="AC68" s="9" t="s">
        <v>95</v>
      </c>
      <c r="AD68" s="20" t="s">
        <v>193</v>
      </c>
      <c r="AE68" s="13"/>
    </row>
    <row r="69" customFormat="false" ht="12.75" hidden="false" customHeight="false" outlineLevel="0" collapsed="false">
      <c r="A69" s="11" t="s">
        <v>188</v>
      </c>
      <c r="B69" s="11" t="s">
        <v>194</v>
      </c>
      <c r="C69" s="11" t="n">
        <v>172385</v>
      </c>
      <c r="D69" s="11" t="n">
        <v>486870</v>
      </c>
      <c r="E69" s="29" t="n">
        <v>172385.3</v>
      </c>
      <c r="F69" s="29" t="n">
        <v>486864.9</v>
      </c>
      <c r="G69" s="23" t="n">
        <v>45223.4786805556</v>
      </c>
      <c r="H69" s="11" t="n">
        <v>5.2</v>
      </c>
      <c r="I69" s="11" t="n">
        <v>0</v>
      </c>
      <c r="J69" s="10" t="n">
        <v>0</v>
      </c>
      <c r="K69" s="11" t="n">
        <v>0</v>
      </c>
      <c r="L69" s="11" t="n">
        <v>0</v>
      </c>
      <c r="M69" s="11" t="n">
        <v>0</v>
      </c>
      <c r="N69" s="11" t="s">
        <v>94</v>
      </c>
      <c r="O69" s="9" t="s">
        <v>94</v>
      </c>
      <c r="P69" s="11" t="s">
        <v>94</v>
      </c>
      <c r="Q69" s="10" t="s">
        <v>94</v>
      </c>
      <c r="R69" s="11" t="s">
        <v>94</v>
      </c>
      <c r="S69" s="11" t="s">
        <v>89</v>
      </c>
      <c r="T69" s="11" t="s">
        <v>89</v>
      </c>
      <c r="U69" s="11" t="s">
        <v>89</v>
      </c>
      <c r="V69" s="11" t="s">
        <v>89</v>
      </c>
      <c r="W69" s="11" t="s">
        <v>89</v>
      </c>
      <c r="X69" s="11" t="s">
        <v>90</v>
      </c>
      <c r="Y69" s="11" t="s">
        <v>90</v>
      </c>
      <c r="Z69" s="11" t="s">
        <v>90</v>
      </c>
      <c r="AA69" s="11" t="s">
        <v>90</v>
      </c>
      <c r="AB69" s="11" t="s">
        <v>90</v>
      </c>
      <c r="AC69" s="9"/>
      <c r="AD69" s="18" t="s">
        <v>190</v>
      </c>
      <c r="AE69" s="13"/>
    </row>
    <row r="70" customFormat="false" ht="12.75" hidden="false" customHeight="false" outlineLevel="0" collapsed="false">
      <c r="A70" s="11" t="s">
        <v>188</v>
      </c>
      <c r="B70" s="11" t="s">
        <v>195</v>
      </c>
      <c r="C70" s="11" t="n">
        <v>171327</v>
      </c>
      <c r="D70" s="11" t="n">
        <v>487614</v>
      </c>
      <c r="E70" s="29" t="n">
        <v>171323.5</v>
      </c>
      <c r="F70" s="29" t="n">
        <v>487614.3</v>
      </c>
      <c r="G70" s="23" t="n">
        <v>45222.5992824074</v>
      </c>
      <c r="H70" s="11" t="n">
        <v>2.9</v>
      </c>
      <c r="I70" s="11" t="n">
        <v>7</v>
      </c>
      <c r="J70" s="10" t="n">
        <v>0.2</v>
      </c>
      <c r="K70" s="11" t="n">
        <v>0</v>
      </c>
      <c r="L70" s="11" t="n">
        <v>0</v>
      </c>
      <c r="M70" s="11" t="n">
        <v>1</v>
      </c>
      <c r="N70" s="11" t="s">
        <v>94</v>
      </c>
      <c r="O70" s="9" t="s">
        <v>94</v>
      </c>
      <c r="P70" s="11" t="s">
        <v>94</v>
      </c>
      <c r="Q70" s="10" t="s">
        <v>94</v>
      </c>
      <c r="R70" s="11" t="s">
        <v>94</v>
      </c>
      <c r="S70" s="11" t="s">
        <v>89</v>
      </c>
      <c r="T70" s="11" t="s">
        <v>89</v>
      </c>
      <c r="U70" s="11" t="s">
        <v>89</v>
      </c>
      <c r="V70" s="11" t="s">
        <v>89</v>
      </c>
      <c r="W70" s="11" t="s">
        <v>89</v>
      </c>
      <c r="X70" s="11" t="s">
        <v>90</v>
      </c>
      <c r="Y70" s="11" t="s">
        <v>90</v>
      </c>
      <c r="Z70" s="11" t="s">
        <v>90</v>
      </c>
      <c r="AA70" s="11" t="s">
        <v>90</v>
      </c>
      <c r="AB70" s="11" t="s">
        <v>113</v>
      </c>
      <c r="AC70" s="11"/>
      <c r="AD70" s="25" t="s">
        <v>177</v>
      </c>
      <c r="AE70" s="20"/>
    </row>
    <row r="71" customFormat="false" ht="12.75" hidden="false" customHeight="false" outlineLevel="0" collapsed="false">
      <c r="A71" s="11" t="s">
        <v>188</v>
      </c>
      <c r="B71" s="11" t="s">
        <v>196</v>
      </c>
      <c r="C71" s="11" t="n">
        <v>173023</v>
      </c>
      <c r="D71" s="11" t="n">
        <v>486957</v>
      </c>
      <c r="E71" s="29" t="n">
        <v>173021</v>
      </c>
      <c r="F71" s="29" t="n">
        <v>486955.1</v>
      </c>
      <c r="G71" s="23" t="n">
        <v>45231.3639583333</v>
      </c>
      <c r="H71" s="11" t="n">
        <v>3.6</v>
      </c>
      <c r="I71" s="11" t="n">
        <v>13</v>
      </c>
      <c r="J71" s="10" t="n">
        <v>14</v>
      </c>
      <c r="K71" s="11" t="n">
        <v>0</v>
      </c>
      <c r="L71" s="11" t="n">
        <v>0</v>
      </c>
      <c r="M71" s="11" t="n">
        <v>3</v>
      </c>
      <c r="N71" s="11" t="s">
        <v>94</v>
      </c>
      <c r="O71" s="9" t="s">
        <v>94</v>
      </c>
      <c r="P71" s="11" t="s">
        <v>94</v>
      </c>
      <c r="Q71" s="10" t="s">
        <v>94</v>
      </c>
      <c r="R71" s="11" t="s">
        <v>116</v>
      </c>
      <c r="S71" s="11" t="s">
        <v>89</v>
      </c>
      <c r="T71" s="11" t="s">
        <v>89</v>
      </c>
      <c r="U71" s="11" t="s">
        <v>89</v>
      </c>
      <c r="V71" s="11" t="s">
        <v>89</v>
      </c>
      <c r="W71" s="11" t="s">
        <v>97</v>
      </c>
      <c r="X71" s="11" t="s">
        <v>91</v>
      </c>
      <c r="Y71" s="11" t="s">
        <v>90</v>
      </c>
      <c r="Z71" s="11" t="s">
        <v>98</v>
      </c>
      <c r="AA71" s="11" t="s">
        <v>90</v>
      </c>
      <c r="AB71" s="11" t="s">
        <v>113</v>
      </c>
      <c r="AC71" s="11" t="s">
        <v>95</v>
      </c>
      <c r="AD71" s="20" t="s">
        <v>193</v>
      </c>
      <c r="AE71" s="20"/>
    </row>
    <row r="72" customFormat="false" ht="12.75" hidden="false" customHeight="false" outlineLevel="0" collapsed="false">
      <c r="A72" s="11" t="s">
        <v>188</v>
      </c>
      <c r="B72" s="11" t="s">
        <v>197</v>
      </c>
      <c r="C72" s="11" t="n">
        <v>172575</v>
      </c>
      <c r="D72" s="11" t="n">
        <v>487977</v>
      </c>
      <c r="E72" s="29" t="n">
        <v>172576.2</v>
      </c>
      <c r="F72" s="29" t="n">
        <v>487975.5</v>
      </c>
      <c r="G72" s="23" t="n">
        <v>45223.5862962963</v>
      </c>
      <c r="H72" s="11" t="n">
        <v>1.9</v>
      </c>
      <c r="I72" s="11" t="n">
        <v>34</v>
      </c>
      <c r="J72" s="10" t="n">
        <v>0.4</v>
      </c>
      <c r="K72" s="11" t="n">
        <v>0</v>
      </c>
      <c r="L72" s="11" t="n">
        <v>0</v>
      </c>
      <c r="M72" s="11" t="n">
        <v>0</v>
      </c>
      <c r="N72" s="11" t="s">
        <v>108</v>
      </c>
      <c r="O72" s="9" t="s">
        <v>108</v>
      </c>
      <c r="P72" s="11" t="s">
        <v>108</v>
      </c>
      <c r="Q72" s="10" t="s">
        <v>108</v>
      </c>
      <c r="R72" s="11" t="s">
        <v>108</v>
      </c>
      <c r="S72" s="11" t="s">
        <v>104</v>
      </c>
      <c r="T72" s="11" t="s">
        <v>104</v>
      </c>
      <c r="U72" s="11" t="s">
        <v>104</v>
      </c>
      <c r="V72" s="11" t="s">
        <v>104</v>
      </c>
      <c r="W72" s="11" t="s">
        <v>104</v>
      </c>
      <c r="X72" s="11" t="s">
        <v>90</v>
      </c>
      <c r="Y72" s="11" t="s">
        <v>90</v>
      </c>
      <c r="Z72" s="11" t="s">
        <v>198</v>
      </c>
      <c r="AA72" s="11" t="s">
        <v>91</v>
      </c>
      <c r="AB72" s="11" t="s">
        <v>90</v>
      </c>
      <c r="AC72" s="11"/>
      <c r="AD72" s="20" t="s">
        <v>190</v>
      </c>
      <c r="AE72" s="20"/>
    </row>
    <row r="73" customFormat="false" ht="12.75" hidden="false" customHeight="false" outlineLevel="0" collapsed="false">
      <c r="A73" s="11" t="s">
        <v>188</v>
      </c>
      <c r="B73" s="11" t="s">
        <v>199</v>
      </c>
      <c r="C73" s="11" t="n">
        <v>172301</v>
      </c>
      <c r="D73" s="11" t="n">
        <v>488445</v>
      </c>
      <c r="E73" s="29" t="n">
        <v>172296.9</v>
      </c>
      <c r="F73" s="29" t="n">
        <v>488446</v>
      </c>
      <c r="G73" s="23" t="n">
        <v>45222.5917939815</v>
      </c>
      <c r="H73" s="11" t="n">
        <v>2.4</v>
      </c>
      <c r="I73" s="11" t="n">
        <v>3</v>
      </c>
      <c r="J73" s="10" t="n">
        <v>3.2</v>
      </c>
      <c r="K73" s="11" t="n">
        <v>0</v>
      </c>
      <c r="L73" s="11" t="n">
        <v>0</v>
      </c>
      <c r="M73" s="11" t="n">
        <v>4</v>
      </c>
      <c r="N73" s="11" t="s">
        <v>94</v>
      </c>
      <c r="O73" s="9" t="s">
        <v>94</v>
      </c>
      <c r="P73" s="11" t="s">
        <v>94</v>
      </c>
      <c r="Q73" s="10" t="s">
        <v>94</v>
      </c>
      <c r="R73" s="11" t="s">
        <v>94</v>
      </c>
      <c r="S73" s="11" t="s">
        <v>89</v>
      </c>
      <c r="T73" s="11" t="s">
        <v>89</v>
      </c>
      <c r="U73" s="11" t="s">
        <v>97</v>
      </c>
      <c r="V73" s="11" t="s">
        <v>97</v>
      </c>
      <c r="W73" s="11" t="s">
        <v>97</v>
      </c>
      <c r="X73" s="11" t="s">
        <v>90</v>
      </c>
      <c r="Y73" s="11" t="s">
        <v>90</v>
      </c>
      <c r="Z73" s="11" t="s">
        <v>113</v>
      </c>
      <c r="AA73" s="11" t="s">
        <v>113</v>
      </c>
      <c r="AB73" s="11" t="s">
        <v>98</v>
      </c>
      <c r="AC73" s="11"/>
      <c r="AD73" s="25" t="s">
        <v>177</v>
      </c>
      <c r="AE73" s="20"/>
    </row>
    <row r="74" customFormat="false" ht="12.75" hidden="false" customHeight="false" outlineLevel="0" collapsed="false">
      <c r="A74" s="11" t="s">
        <v>188</v>
      </c>
      <c r="B74" s="11" t="s">
        <v>200</v>
      </c>
      <c r="C74" s="11" t="n">
        <v>174330</v>
      </c>
      <c r="D74" s="11" t="n">
        <v>487909</v>
      </c>
      <c r="E74" s="29" t="n">
        <v>174331.7</v>
      </c>
      <c r="F74" s="29" t="n">
        <v>487908.6</v>
      </c>
      <c r="G74" s="23" t="n">
        <v>45223.497974537</v>
      </c>
      <c r="H74" s="11" t="n">
        <v>0.7</v>
      </c>
      <c r="I74" s="11" t="n">
        <v>1.2</v>
      </c>
      <c r="J74" s="10" t="n">
        <v>0</v>
      </c>
      <c r="K74" s="11" t="n">
        <v>0</v>
      </c>
      <c r="L74" s="11" t="n">
        <v>0</v>
      </c>
      <c r="M74" s="11" t="n">
        <v>1</v>
      </c>
      <c r="N74" s="11" t="s">
        <v>108</v>
      </c>
      <c r="O74" s="9" t="s">
        <v>108</v>
      </c>
      <c r="P74" s="11" t="s">
        <v>108</v>
      </c>
      <c r="Q74" s="10" t="s">
        <v>108</v>
      </c>
      <c r="R74" s="11" t="s">
        <v>108</v>
      </c>
      <c r="S74" s="11" t="s">
        <v>104</v>
      </c>
      <c r="T74" s="11" t="s">
        <v>104</v>
      </c>
      <c r="U74" s="11" t="s">
        <v>104</v>
      </c>
      <c r="V74" s="11" t="s">
        <v>104</v>
      </c>
      <c r="W74" s="11" t="s">
        <v>104</v>
      </c>
      <c r="X74" s="11" t="s">
        <v>90</v>
      </c>
      <c r="Y74" s="11" t="s">
        <v>123</v>
      </c>
      <c r="Z74" s="11" t="s">
        <v>98</v>
      </c>
      <c r="AA74" s="11" t="s">
        <v>90</v>
      </c>
      <c r="AB74" s="11" t="s">
        <v>108</v>
      </c>
      <c r="AC74" s="11"/>
      <c r="AD74" s="20" t="s">
        <v>190</v>
      </c>
      <c r="AE74" s="20" t="s">
        <v>201</v>
      </c>
    </row>
    <row r="75" customFormat="false" ht="12.75" hidden="false" customHeight="false" outlineLevel="0" collapsed="false">
      <c r="A75" s="11" t="s">
        <v>188</v>
      </c>
      <c r="B75" s="11" t="s">
        <v>202</v>
      </c>
      <c r="C75" s="11" t="n">
        <v>173809</v>
      </c>
      <c r="D75" s="11" t="n">
        <v>488753</v>
      </c>
      <c r="E75" s="29" t="n">
        <v>173809.8</v>
      </c>
      <c r="F75" s="29" t="n">
        <v>488751.9</v>
      </c>
      <c r="G75" s="23" t="n">
        <v>45223.5757407407</v>
      </c>
      <c r="H75" s="11" t="n">
        <v>2</v>
      </c>
      <c r="I75" s="11" t="n">
        <v>1.4</v>
      </c>
      <c r="J75" s="10" t="n">
        <v>0.2</v>
      </c>
      <c r="K75" s="11" t="n">
        <v>0</v>
      </c>
      <c r="L75" s="11" t="n">
        <v>0</v>
      </c>
      <c r="M75" s="11" t="n">
        <v>0</v>
      </c>
      <c r="N75" s="11" t="s">
        <v>108</v>
      </c>
      <c r="O75" s="9" t="s">
        <v>108</v>
      </c>
      <c r="P75" s="11" t="s">
        <v>108</v>
      </c>
      <c r="Q75" s="10" t="s">
        <v>108</v>
      </c>
      <c r="R75" s="11" t="s">
        <v>108</v>
      </c>
      <c r="S75" s="11" t="s">
        <v>104</v>
      </c>
      <c r="T75" s="11" t="s">
        <v>104</v>
      </c>
      <c r="U75" s="11" t="s">
        <v>104</v>
      </c>
      <c r="V75" s="11" t="s">
        <v>104</v>
      </c>
      <c r="W75" s="11" t="s">
        <v>104</v>
      </c>
      <c r="X75" s="11" t="s">
        <v>198</v>
      </c>
      <c r="Y75" s="11" t="s">
        <v>91</v>
      </c>
      <c r="Z75" s="11" t="s">
        <v>198</v>
      </c>
      <c r="AA75" s="11" t="s">
        <v>90</v>
      </c>
      <c r="AB75" s="11" t="s">
        <v>198</v>
      </c>
      <c r="AC75" s="11"/>
      <c r="AD75" s="20" t="s">
        <v>190</v>
      </c>
      <c r="AE75" s="20"/>
    </row>
    <row r="76" customFormat="false" ht="12.75" hidden="false" customHeight="false" outlineLevel="0" collapsed="false">
      <c r="A76" s="11" t="s">
        <v>188</v>
      </c>
      <c r="B76" s="11" t="s">
        <v>203</v>
      </c>
      <c r="C76" s="11" t="n">
        <v>173321</v>
      </c>
      <c r="D76" s="11" t="n">
        <v>489083</v>
      </c>
      <c r="E76" s="29" t="n">
        <v>173316.9</v>
      </c>
      <c r="F76" s="29" t="n">
        <v>489081</v>
      </c>
      <c r="G76" s="23" t="n">
        <v>45222.5807407407</v>
      </c>
      <c r="H76" s="11" t="n">
        <v>10</v>
      </c>
      <c r="I76" s="15" t="n">
        <v>0</v>
      </c>
      <c r="J76" s="10" t="n">
        <v>0</v>
      </c>
      <c r="K76" s="11" t="n">
        <v>0</v>
      </c>
      <c r="L76" s="11" t="n">
        <v>0</v>
      </c>
      <c r="M76" s="11" t="n">
        <v>0</v>
      </c>
      <c r="N76" s="11" t="s">
        <v>94</v>
      </c>
      <c r="O76" s="9" t="s">
        <v>94</v>
      </c>
      <c r="P76" s="15" t="s">
        <v>94</v>
      </c>
      <c r="Q76" s="10" t="s">
        <v>94</v>
      </c>
      <c r="R76" s="11" t="s">
        <v>94</v>
      </c>
      <c r="S76" s="11" t="s">
        <v>89</v>
      </c>
      <c r="T76" s="11" t="s">
        <v>89</v>
      </c>
      <c r="U76" s="11" t="s">
        <v>89</v>
      </c>
      <c r="V76" s="11" t="s">
        <v>89</v>
      </c>
      <c r="W76" s="11" t="s">
        <v>89</v>
      </c>
      <c r="X76" s="11" t="s">
        <v>90</v>
      </c>
      <c r="Y76" s="11" t="s">
        <v>90</v>
      </c>
      <c r="Z76" s="11" t="s">
        <v>90</v>
      </c>
      <c r="AA76" s="11" t="s">
        <v>90</v>
      </c>
      <c r="AB76" s="11" t="s">
        <v>90</v>
      </c>
      <c r="AC76" s="11"/>
      <c r="AD76" s="25" t="s">
        <v>177</v>
      </c>
      <c r="AE76" s="20"/>
    </row>
    <row r="77" customFormat="false" ht="12.75" hidden="false" customHeight="false" outlineLevel="0" collapsed="false">
      <c r="A77" s="11" t="s">
        <v>188</v>
      </c>
      <c r="B77" s="11" t="s">
        <v>204</v>
      </c>
      <c r="C77" s="11" t="n">
        <v>175480</v>
      </c>
      <c r="D77" s="11" t="n">
        <v>488802</v>
      </c>
      <c r="E77" s="29" t="n">
        <v>175481.1</v>
      </c>
      <c r="F77" s="29" t="n">
        <v>488804</v>
      </c>
      <c r="G77" s="23" t="n">
        <v>45223.5079166667</v>
      </c>
      <c r="H77" s="11" t="n">
        <v>0.7</v>
      </c>
      <c r="I77" s="11" t="n">
        <v>0.8</v>
      </c>
      <c r="J77" s="10" t="n">
        <v>0</v>
      </c>
      <c r="K77" s="11" t="n">
        <v>0</v>
      </c>
      <c r="L77" s="11" t="n">
        <v>0</v>
      </c>
      <c r="M77" s="11" t="n">
        <v>0</v>
      </c>
      <c r="N77" s="11" t="s">
        <v>108</v>
      </c>
      <c r="O77" s="9" t="s">
        <v>108</v>
      </c>
      <c r="P77" s="11" t="s">
        <v>108</v>
      </c>
      <c r="Q77" s="10" t="s">
        <v>108</v>
      </c>
      <c r="R77" s="11" t="s">
        <v>108</v>
      </c>
      <c r="S77" s="11" t="s">
        <v>104</v>
      </c>
      <c r="T77" s="11" t="s">
        <v>104</v>
      </c>
      <c r="U77" s="11" t="s">
        <v>104</v>
      </c>
      <c r="V77" s="11" t="s">
        <v>104</v>
      </c>
      <c r="W77" s="11" t="s">
        <v>104</v>
      </c>
      <c r="X77" s="11" t="s">
        <v>198</v>
      </c>
      <c r="Y77" s="11" t="s">
        <v>90</v>
      </c>
      <c r="Z77" s="11" t="s">
        <v>198</v>
      </c>
      <c r="AA77" s="11" t="s">
        <v>198</v>
      </c>
      <c r="AB77" s="11" t="s">
        <v>90</v>
      </c>
      <c r="AC77" s="11"/>
      <c r="AD77" s="20" t="s">
        <v>190</v>
      </c>
      <c r="AE77" s="20"/>
    </row>
    <row r="78" customFormat="false" ht="12.75" hidden="false" customHeight="false" outlineLevel="0" collapsed="false">
      <c r="A78" s="11" t="s">
        <v>188</v>
      </c>
      <c r="B78" s="11" t="s">
        <v>205</v>
      </c>
      <c r="C78" s="11" t="n">
        <v>175117</v>
      </c>
      <c r="D78" s="11" t="n">
        <v>489300</v>
      </c>
      <c r="E78" s="29" t="n">
        <v>175119.5</v>
      </c>
      <c r="F78" s="29" t="n">
        <v>489303.1</v>
      </c>
      <c r="G78" s="23" t="n">
        <v>45223.5664699074</v>
      </c>
      <c r="H78" s="11" t="n">
        <v>1.7</v>
      </c>
      <c r="I78" s="11" t="n">
        <v>3.8</v>
      </c>
      <c r="J78" s="10" t="n">
        <v>0.01</v>
      </c>
      <c r="K78" s="11" t="n">
        <v>0</v>
      </c>
      <c r="L78" s="11" t="n">
        <v>0</v>
      </c>
      <c r="M78" s="11" t="n">
        <v>0</v>
      </c>
      <c r="N78" s="11" t="s">
        <v>103</v>
      </c>
      <c r="O78" s="11" t="s">
        <v>103</v>
      </c>
      <c r="P78" s="11" t="s">
        <v>103</v>
      </c>
      <c r="Q78" s="11" t="s">
        <v>103</v>
      </c>
      <c r="R78" s="11" t="s">
        <v>103</v>
      </c>
      <c r="S78" s="11" t="s">
        <v>104</v>
      </c>
      <c r="T78" s="11" t="s">
        <v>104</v>
      </c>
      <c r="U78" s="11" t="s">
        <v>97</v>
      </c>
      <c r="V78" s="11" t="s">
        <v>97</v>
      </c>
      <c r="W78" s="11" t="s">
        <v>97</v>
      </c>
      <c r="X78" s="11" t="s">
        <v>198</v>
      </c>
      <c r="Y78" s="11" t="s">
        <v>198</v>
      </c>
      <c r="Z78" s="11" t="s">
        <v>198</v>
      </c>
      <c r="AA78" s="11" t="s">
        <v>198</v>
      </c>
      <c r="AB78" s="11" t="s">
        <v>198</v>
      </c>
      <c r="AC78" s="11"/>
      <c r="AD78" s="20" t="s">
        <v>190</v>
      </c>
      <c r="AE78" s="20"/>
    </row>
    <row r="79" customFormat="false" ht="12.75" hidden="false" customHeight="false" outlineLevel="0" collapsed="false">
      <c r="A79" s="11" t="s">
        <v>188</v>
      </c>
      <c r="B79" s="11" t="s">
        <v>206</v>
      </c>
      <c r="C79" s="11" t="n">
        <v>174733</v>
      </c>
      <c r="D79" s="11" t="n">
        <v>490045</v>
      </c>
      <c r="E79" s="29" t="n">
        <v>174728.8</v>
      </c>
      <c r="F79" s="29" t="n">
        <v>490045.5</v>
      </c>
      <c r="G79" s="23" t="n">
        <v>45231.4041435185</v>
      </c>
      <c r="H79" s="11" t="n">
        <v>2.1</v>
      </c>
      <c r="I79" s="11" t="n">
        <v>1.4</v>
      </c>
      <c r="J79" s="10" t="n">
        <v>0</v>
      </c>
      <c r="K79" s="11" t="n">
        <v>0</v>
      </c>
      <c r="L79" s="11" t="n">
        <v>0</v>
      </c>
      <c r="M79" s="11" t="n">
        <v>0</v>
      </c>
      <c r="N79" s="11" t="s">
        <v>108</v>
      </c>
      <c r="O79" s="11" t="s">
        <v>108</v>
      </c>
      <c r="P79" s="11" t="s">
        <v>108</v>
      </c>
      <c r="Q79" s="11" t="s">
        <v>108</v>
      </c>
      <c r="R79" s="11" t="s">
        <v>103</v>
      </c>
      <c r="S79" s="11" t="s">
        <v>104</v>
      </c>
      <c r="T79" s="11" t="s">
        <v>104</v>
      </c>
      <c r="U79" s="11" t="s">
        <v>104</v>
      </c>
      <c r="V79" s="11" t="s">
        <v>104</v>
      </c>
      <c r="W79" s="11" t="s">
        <v>104</v>
      </c>
      <c r="X79" s="11" t="s">
        <v>198</v>
      </c>
      <c r="Y79" s="11" t="s">
        <v>198</v>
      </c>
      <c r="Z79" s="11" t="s">
        <v>198</v>
      </c>
      <c r="AA79" s="11" t="s">
        <v>198</v>
      </c>
      <c r="AB79" s="11" t="s">
        <v>198</v>
      </c>
      <c r="AC79" s="11" t="s">
        <v>95</v>
      </c>
      <c r="AD79" s="30" t="s">
        <v>193</v>
      </c>
      <c r="AE79" s="20"/>
    </row>
    <row r="80" customFormat="false" ht="12.75" hidden="false" customHeight="false" outlineLevel="0" collapsed="false">
      <c r="A80" s="11" t="s">
        <v>188</v>
      </c>
      <c r="B80" s="11" t="s">
        <v>207</v>
      </c>
      <c r="C80" s="11" t="n">
        <v>177274</v>
      </c>
      <c r="D80" s="11" t="n">
        <v>489259</v>
      </c>
      <c r="E80" s="29" t="n">
        <v>177275.1</v>
      </c>
      <c r="F80" s="29" t="n">
        <v>489263.9</v>
      </c>
      <c r="G80" s="23" t="n">
        <v>45223.5221875</v>
      </c>
      <c r="H80" s="11" t="n">
        <v>0.5</v>
      </c>
      <c r="I80" s="11" t="n">
        <v>0.2</v>
      </c>
      <c r="J80" s="11" t="n">
        <v>0.6</v>
      </c>
      <c r="K80" s="11" t="n">
        <v>0</v>
      </c>
      <c r="L80" s="11" t="n">
        <v>0</v>
      </c>
      <c r="M80" s="11" t="n">
        <v>1</v>
      </c>
      <c r="N80" s="11" t="s">
        <v>108</v>
      </c>
      <c r="O80" s="11" t="s">
        <v>108</v>
      </c>
      <c r="P80" s="11" t="s">
        <v>108</v>
      </c>
      <c r="Q80" s="11" t="s">
        <v>108</v>
      </c>
      <c r="R80" s="11" t="s">
        <v>108</v>
      </c>
      <c r="S80" s="11" t="s">
        <v>104</v>
      </c>
      <c r="T80" s="11" t="s">
        <v>104</v>
      </c>
      <c r="U80" s="11" t="s">
        <v>104</v>
      </c>
      <c r="V80" s="11" t="s">
        <v>104</v>
      </c>
      <c r="W80" s="11" t="s">
        <v>104</v>
      </c>
      <c r="X80" s="11" t="s">
        <v>90</v>
      </c>
      <c r="Y80" s="11" t="s">
        <v>90</v>
      </c>
      <c r="Z80" s="11" t="s">
        <v>90</v>
      </c>
      <c r="AA80" s="11" t="s">
        <v>208</v>
      </c>
      <c r="AB80" s="11" t="s">
        <v>198</v>
      </c>
      <c r="AC80" s="9"/>
      <c r="AD80" s="31" t="s">
        <v>190</v>
      </c>
      <c r="AE80" s="13"/>
    </row>
    <row r="81" customFormat="false" ht="12.75" hidden="false" customHeight="false" outlineLevel="0" collapsed="false">
      <c r="A81" s="11" t="s">
        <v>188</v>
      </c>
      <c r="B81" s="11" t="s">
        <v>209</v>
      </c>
      <c r="C81" s="11" t="n">
        <v>176690</v>
      </c>
      <c r="D81" s="11" t="n">
        <v>489914</v>
      </c>
      <c r="E81" s="29" t="n">
        <v>176690.4</v>
      </c>
      <c r="F81" s="29" t="n">
        <v>489918.5</v>
      </c>
      <c r="G81" s="23" t="n">
        <v>45223.5561111111</v>
      </c>
      <c r="H81" s="11" t="n">
        <v>0.7</v>
      </c>
      <c r="I81" s="11" t="n">
        <v>3</v>
      </c>
      <c r="J81" s="11" t="n">
        <v>0.4</v>
      </c>
      <c r="K81" s="11" t="n">
        <v>0</v>
      </c>
      <c r="L81" s="11" t="n">
        <v>0</v>
      </c>
      <c r="M81" s="11" t="n">
        <v>0</v>
      </c>
      <c r="N81" s="11" t="s">
        <v>108</v>
      </c>
      <c r="O81" s="11" t="s">
        <v>108</v>
      </c>
      <c r="P81" s="11" t="s">
        <v>108</v>
      </c>
      <c r="Q81" s="11" t="s">
        <v>108</v>
      </c>
      <c r="R81" s="11" t="s">
        <v>108</v>
      </c>
      <c r="S81" s="11" t="s">
        <v>104</v>
      </c>
      <c r="T81" s="11" t="s">
        <v>104</v>
      </c>
      <c r="U81" s="11" t="s">
        <v>104</v>
      </c>
      <c r="V81" s="11" t="s">
        <v>104</v>
      </c>
      <c r="W81" s="11" t="s">
        <v>104</v>
      </c>
      <c r="X81" s="11" t="s">
        <v>198</v>
      </c>
      <c r="Y81" s="11" t="s">
        <v>198</v>
      </c>
      <c r="Z81" s="11" t="s">
        <v>198</v>
      </c>
      <c r="AA81" s="11" t="s">
        <v>90</v>
      </c>
      <c r="AB81" s="11" t="s">
        <v>90</v>
      </c>
      <c r="AC81" s="9"/>
      <c r="AD81" s="31" t="s">
        <v>190</v>
      </c>
      <c r="AE81" s="13"/>
    </row>
    <row r="82" customFormat="false" ht="12.75" hidden="false" customHeight="false" outlineLevel="0" collapsed="false">
      <c r="A82" s="11" t="s">
        <v>188</v>
      </c>
      <c r="B82" s="11" t="s">
        <v>210</v>
      </c>
      <c r="C82" s="11" t="n">
        <v>176122</v>
      </c>
      <c r="D82" s="11" t="n">
        <v>490375</v>
      </c>
      <c r="E82" s="29" t="n">
        <v>176126.5</v>
      </c>
      <c r="F82" s="29" t="n">
        <v>490375.2</v>
      </c>
      <c r="G82" s="23" t="n">
        <v>45222.5653009259</v>
      </c>
      <c r="H82" s="11" t="n">
        <v>2.2</v>
      </c>
      <c r="I82" s="11" t="n">
        <v>0.2</v>
      </c>
      <c r="J82" s="11" t="n">
        <v>0</v>
      </c>
      <c r="K82" s="11" t="n">
        <v>0</v>
      </c>
      <c r="L82" s="11" t="n">
        <v>0</v>
      </c>
      <c r="M82" s="11" t="n">
        <v>0</v>
      </c>
      <c r="N82" s="11" t="s">
        <v>103</v>
      </c>
      <c r="O82" s="11" t="s">
        <v>103</v>
      </c>
      <c r="P82" s="11" t="s">
        <v>100</v>
      </c>
      <c r="Q82" s="11" t="s">
        <v>100</v>
      </c>
      <c r="R82" s="11" t="s">
        <v>100</v>
      </c>
      <c r="S82" s="11" t="s">
        <v>97</v>
      </c>
      <c r="T82" s="11" t="s">
        <v>97</v>
      </c>
      <c r="U82" s="11" t="s">
        <v>89</v>
      </c>
      <c r="V82" s="11" t="s">
        <v>89</v>
      </c>
      <c r="W82" s="11" t="s">
        <v>101</v>
      </c>
      <c r="X82" s="11" t="s">
        <v>90</v>
      </c>
      <c r="Y82" s="11" t="s">
        <v>90</v>
      </c>
      <c r="Z82" s="11" t="s">
        <v>90</v>
      </c>
      <c r="AA82" s="11" t="s">
        <v>90</v>
      </c>
      <c r="AB82" s="11" t="s">
        <v>90</v>
      </c>
      <c r="AC82" s="9"/>
      <c r="AD82" s="31" t="s">
        <v>177</v>
      </c>
      <c r="AE82" s="13"/>
    </row>
    <row r="83" customFormat="false" ht="12.75" hidden="false" customHeight="false" outlineLevel="0" collapsed="false">
      <c r="A83" s="11" t="s">
        <v>188</v>
      </c>
      <c r="B83" s="11" t="s">
        <v>211</v>
      </c>
      <c r="C83" s="11" t="n">
        <v>178496</v>
      </c>
      <c r="D83" s="11" t="n">
        <v>490372</v>
      </c>
      <c r="E83" s="29" t="n">
        <v>178493.7</v>
      </c>
      <c r="F83" s="29" t="n">
        <v>490367.7</v>
      </c>
      <c r="G83" s="23" t="n">
        <v>45223.5364467593</v>
      </c>
      <c r="H83" s="11" t="n">
        <v>0.7</v>
      </c>
      <c r="I83" s="11" t="n">
        <v>0.3</v>
      </c>
      <c r="J83" s="11" t="n">
        <v>0.1</v>
      </c>
      <c r="K83" s="11" t="n">
        <v>0</v>
      </c>
      <c r="L83" s="11" t="n">
        <v>0</v>
      </c>
      <c r="M83" s="11" t="n">
        <v>0</v>
      </c>
      <c r="N83" s="11" t="s">
        <v>108</v>
      </c>
      <c r="O83" s="11" t="s">
        <v>108</v>
      </c>
      <c r="P83" s="11" t="s">
        <v>108</v>
      </c>
      <c r="Q83" s="11" t="s">
        <v>108</v>
      </c>
      <c r="R83" s="11" t="s">
        <v>108</v>
      </c>
      <c r="S83" s="11" t="s">
        <v>104</v>
      </c>
      <c r="T83" s="11" t="s">
        <v>104</v>
      </c>
      <c r="U83" s="11" t="s">
        <v>104</v>
      </c>
      <c r="V83" s="11" t="s">
        <v>104</v>
      </c>
      <c r="W83" s="11" t="s">
        <v>104</v>
      </c>
      <c r="X83" s="11" t="s">
        <v>90</v>
      </c>
      <c r="Y83" s="11" t="s">
        <v>90</v>
      </c>
      <c r="Z83" s="11" t="s">
        <v>198</v>
      </c>
      <c r="AA83" s="11" t="s">
        <v>198</v>
      </c>
      <c r="AB83" s="11" t="s">
        <v>198</v>
      </c>
      <c r="AC83" s="9"/>
      <c r="AD83" s="31" t="s">
        <v>190</v>
      </c>
      <c r="AE83" s="13"/>
    </row>
    <row r="84" customFormat="false" ht="12.75" hidden="false" customHeight="false" outlineLevel="0" collapsed="false">
      <c r="A84" s="11" t="s">
        <v>188</v>
      </c>
      <c r="B84" s="11" t="s">
        <v>212</v>
      </c>
      <c r="C84" s="11" t="n">
        <v>177785</v>
      </c>
      <c r="D84" s="11" t="n">
        <v>490960</v>
      </c>
      <c r="E84" s="29" t="n">
        <v>177782.6</v>
      </c>
      <c r="F84" s="29" t="n">
        <v>490956.8</v>
      </c>
      <c r="G84" s="23" t="n">
        <v>45223.5450925926</v>
      </c>
      <c r="H84" s="11" t="n">
        <v>1.8</v>
      </c>
      <c r="I84" s="11" t="n">
        <v>3.6</v>
      </c>
      <c r="J84" s="11" t="n">
        <v>0.8</v>
      </c>
      <c r="K84" s="11" t="n">
        <v>0</v>
      </c>
      <c r="L84" s="11" t="n">
        <v>0</v>
      </c>
      <c r="M84" s="11" t="n">
        <v>0</v>
      </c>
      <c r="N84" s="11" t="s">
        <v>100</v>
      </c>
      <c r="O84" s="11" t="s">
        <v>108</v>
      </c>
      <c r="P84" s="11" t="s">
        <v>108</v>
      </c>
      <c r="Q84" s="11" t="s">
        <v>108</v>
      </c>
      <c r="R84" s="11" t="s">
        <v>108</v>
      </c>
      <c r="S84" s="11" t="s">
        <v>101</v>
      </c>
      <c r="T84" s="11" t="s">
        <v>104</v>
      </c>
      <c r="U84" s="11" t="s">
        <v>104</v>
      </c>
      <c r="V84" s="11" t="s">
        <v>104</v>
      </c>
      <c r="W84" s="11" t="s">
        <v>104</v>
      </c>
      <c r="X84" s="11" t="s">
        <v>90</v>
      </c>
      <c r="Y84" s="11" t="s">
        <v>198</v>
      </c>
      <c r="Z84" s="11" t="s">
        <v>198</v>
      </c>
      <c r="AA84" s="11" t="s">
        <v>198</v>
      </c>
      <c r="AB84" s="11" t="s">
        <v>198</v>
      </c>
      <c r="AC84" s="9"/>
      <c r="AD84" s="31" t="s">
        <v>190</v>
      </c>
      <c r="AE84" s="13"/>
    </row>
    <row r="85" customFormat="false" ht="12.75" hidden="false" customHeight="false" outlineLevel="0" collapsed="false">
      <c r="A85" s="11" t="s">
        <v>188</v>
      </c>
      <c r="B85" s="11" t="s">
        <v>213</v>
      </c>
      <c r="C85" s="11" t="n">
        <v>177512</v>
      </c>
      <c r="D85" s="11" t="n">
        <v>491417</v>
      </c>
      <c r="E85" s="29" t="n">
        <v>177511.8</v>
      </c>
      <c r="F85" s="29" t="n">
        <v>491420.8</v>
      </c>
      <c r="G85" s="23" t="n">
        <v>45222.5562962963</v>
      </c>
      <c r="H85" s="11" t="n">
        <v>2.1</v>
      </c>
      <c r="I85" s="11" t="n">
        <v>0.4</v>
      </c>
      <c r="J85" s="11" t="n">
        <v>0.1</v>
      </c>
      <c r="K85" s="11" t="n">
        <v>0</v>
      </c>
      <c r="L85" s="11" t="n">
        <v>0</v>
      </c>
      <c r="M85" s="11" t="n">
        <v>1</v>
      </c>
      <c r="N85" s="11" t="s">
        <v>108</v>
      </c>
      <c r="O85" s="11" t="s">
        <v>108</v>
      </c>
      <c r="P85" s="11" t="s">
        <v>108</v>
      </c>
      <c r="Q85" s="11" t="s">
        <v>103</v>
      </c>
      <c r="R85" s="11" t="s">
        <v>103</v>
      </c>
      <c r="S85" s="11" t="s">
        <v>104</v>
      </c>
      <c r="T85" s="11" t="s">
        <v>104</v>
      </c>
      <c r="U85" s="11" t="s">
        <v>104</v>
      </c>
      <c r="V85" s="11" t="s">
        <v>97</v>
      </c>
      <c r="W85" s="11" t="s">
        <v>97</v>
      </c>
      <c r="X85" s="11" t="s">
        <v>98</v>
      </c>
      <c r="Y85" s="11" t="s">
        <v>90</v>
      </c>
      <c r="Z85" s="11" t="s">
        <v>198</v>
      </c>
      <c r="AA85" s="11" t="s">
        <v>198</v>
      </c>
      <c r="AB85" s="11" t="s">
        <v>90</v>
      </c>
      <c r="AC85" s="9"/>
      <c r="AD85" s="31" t="s">
        <v>177</v>
      </c>
      <c r="AE85" s="13"/>
    </row>
    <row r="86" customFormat="false" ht="12.75" hidden="false" customHeight="false" outlineLevel="0" collapsed="false">
      <c r="A86" s="11" t="s">
        <v>188</v>
      </c>
      <c r="B86" s="11" t="s">
        <v>214</v>
      </c>
      <c r="C86" s="11" t="n">
        <v>179589</v>
      </c>
      <c r="D86" s="11" t="n">
        <v>491160</v>
      </c>
      <c r="E86" s="29" t="n">
        <v>179590.5</v>
      </c>
      <c r="F86" s="29" t="n">
        <v>491163.5</v>
      </c>
      <c r="G86" s="23" t="n">
        <v>45222.538912037</v>
      </c>
      <c r="H86" s="11" t="n">
        <v>0.5</v>
      </c>
      <c r="I86" s="11" t="n">
        <v>0.4</v>
      </c>
      <c r="J86" s="11" t="n">
        <v>0</v>
      </c>
      <c r="K86" s="11" t="n">
        <v>0</v>
      </c>
      <c r="L86" s="11" t="n">
        <v>0</v>
      </c>
      <c r="M86" s="11" t="n">
        <v>2</v>
      </c>
      <c r="N86" s="11" t="s">
        <v>108</v>
      </c>
      <c r="O86" s="11" t="s">
        <v>108</v>
      </c>
      <c r="P86" s="11" t="s">
        <v>108</v>
      </c>
      <c r="Q86" s="11" t="s">
        <v>108</v>
      </c>
      <c r="R86" s="11" t="s">
        <v>108</v>
      </c>
      <c r="S86" s="11" t="s">
        <v>104</v>
      </c>
      <c r="T86" s="11" t="s">
        <v>104</v>
      </c>
      <c r="U86" s="11" t="s">
        <v>104</v>
      </c>
      <c r="V86" s="11" t="s">
        <v>104</v>
      </c>
      <c r="W86" s="11" t="s">
        <v>104</v>
      </c>
      <c r="X86" s="11" t="s">
        <v>98</v>
      </c>
      <c r="Y86" s="11" t="s">
        <v>90</v>
      </c>
      <c r="Z86" s="11" t="s">
        <v>90</v>
      </c>
      <c r="AA86" s="11" t="s">
        <v>90</v>
      </c>
      <c r="AB86" s="11" t="s">
        <v>90</v>
      </c>
      <c r="AC86" s="9"/>
      <c r="AD86" s="31" t="s">
        <v>177</v>
      </c>
      <c r="AE86" s="13"/>
    </row>
    <row r="87" customFormat="false" ht="12.75" hidden="false" customHeight="false" outlineLevel="0" collapsed="false">
      <c r="A87" s="11" t="s">
        <v>188</v>
      </c>
      <c r="B87" s="11" t="s">
        <v>215</v>
      </c>
      <c r="C87" s="11" t="n">
        <v>178786</v>
      </c>
      <c r="D87" s="11" t="n">
        <v>491673</v>
      </c>
      <c r="E87" s="29" t="n">
        <v>178782.5</v>
      </c>
      <c r="F87" s="29" t="n">
        <v>491675.7</v>
      </c>
      <c r="G87" s="23" t="n">
        <v>45231.4376273148</v>
      </c>
      <c r="H87" s="11" t="n">
        <v>1.9</v>
      </c>
      <c r="I87" s="11" t="n">
        <v>2.2</v>
      </c>
      <c r="J87" s="11" t="n">
        <v>0.2</v>
      </c>
      <c r="K87" s="11" t="n">
        <v>0</v>
      </c>
      <c r="L87" s="11" t="n">
        <v>0</v>
      </c>
      <c r="M87" s="11" t="n">
        <v>1</v>
      </c>
      <c r="N87" s="11" t="s">
        <v>116</v>
      </c>
      <c r="O87" s="11" t="s">
        <v>103</v>
      </c>
      <c r="P87" s="11" t="s">
        <v>103</v>
      </c>
      <c r="Q87" s="11" t="s">
        <v>103</v>
      </c>
      <c r="R87" s="11" t="s">
        <v>103</v>
      </c>
      <c r="S87" s="11" t="s">
        <v>104</v>
      </c>
      <c r="T87" s="11" t="s">
        <v>104</v>
      </c>
      <c r="U87" s="11" t="s">
        <v>104</v>
      </c>
      <c r="V87" s="11" t="s">
        <v>104</v>
      </c>
      <c r="W87" s="11" t="s">
        <v>104</v>
      </c>
      <c r="X87" s="11" t="s">
        <v>198</v>
      </c>
      <c r="Y87" s="11" t="s">
        <v>90</v>
      </c>
      <c r="Z87" s="11" t="s">
        <v>198</v>
      </c>
      <c r="AA87" s="11" t="s">
        <v>198</v>
      </c>
      <c r="AB87" s="11" t="s">
        <v>198</v>
      </c>
      <c r="AC87" s="9" t="s">
        <v>95</v>
      </c>
      <c r="AD87" s="31" t="s">
        <v>193</v>
      </c>
      <c r="AE87" s="13"/>
    </row>
    <row r="88" customFormat="false" ht="12.75" hidden="false" customHeight="false" outlineLevel="0" collapsed="false">
      <c r="A88" s="11" t="s">
        <v>188</v>
      </c>
      <c r="B88" s="11" t="s">
        <v>216</v>
      </c>
      <c r="C88" s="11" t="n">
        <v>180016</v>
      </c>
      <c r="D88" s="11" t="n">
        <v>491683</v>
      </c>
      <c r="E88" s="29" t="n">
        <v>180015.3</v>
      </c>
      <c r="F88" s="29" t="n">
        <v>491687.7</v>
      </c>
      <c r="G88" s="23" t="n">
        <v>45222.5315972222</v>
      </c>
      <c r="H88" s="11" t="n">
        <v>0.5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s">
        <v>108</v>
      </c>
      <c r="O88" s="11" t="s">
        <v>108</v>
      </c>
      <c r="P88" s="11" t="s">
        <v>108</v>
      </c>
      <c r="Q88" s="11" t="s">
        <v>108</v>
      </c>
      <c r="R88" s="11" t="s">
        <v>108</v>
      </c>
      <c r="S88" s="11" t="s">
        <v>104</v>
      </c>
      <c r="T88" s="11" t="s">
        <v>104</v>
      </c>
      <c r="U88" s="11" t="s">
        <v>104</v>
      </c>
      <c r="V88" s="11" t="s">
        <v>104</v>
      </c>
      <c r="W88" s="11" t="s">
        <v>104</v>
      </c>
      <c r="X88" s="11" t="s">
        <v>90</v>
      </c>
      <c r="Y88" s="11" t="s">
        <v>90</v>
      </c>
      <c r="Z88" s="11" t="s">
        <v>90</v>
      </c>
      <c r="AA88" s="11" t="s">
        <v>90</v>
      </c>
      <c r="AB88" s="11" t="s">
        <v>90</v>
      </c>
      <c r="AC88" s="9"/>
      <c r="AD88" s="31" t="s">
        <v>177</v>
      </c>
      <c r="AE88" s="13"/>
    </row>
    <row r="89" customFormat="false" ht="12.75" hidden="false" customHeight="false" outlineLevel="0" collapsed="false">
      <c r="A89" s="11" t="s">
        <v>188</v>
      </c>
      <c r="B89" s="11" t="s">
        <v>217</v>
      </c>
      <c r="C89" s="11" t="n">
        <v>180973</v>
      </c>
      <c r="D89" s="11" t="n">
        <v>492035</v>
      </c>
      <c r="E89" s="29" t="n">
        <v>180974.8</v>
      </c>
      <c r="F89" s="29" t="n">
        <v>492039.2</v>
      </c>
      <c r="G89" s="23" t="n">
        <v>45222.521099537</v>
      </c>
      <c r="H89" s="11" t="n">
        <v>0.5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s">
        <v>108</v>
      </c>
      <c r="O89" s="11" t="s">
        <v>108</v>
      </c>
      <c r="P89" s="11" t="s">
        <v>108</v>
      </c>
      <c r="Q89" s="11" t="s">
        <v>103</v>
      </c>
      <c r="R89" s="11" t="s">
        <v>103</v>
      </c>
      <c r="S89" s="11" t="s">
        <v>104</v>
      </c>
      <c r="T89" s="11" t="s">
        <v>104</v>
      </c>
      <c r="U89" s="11" t="s">
        <v>104</v>
      </c>
      <c r="V89" s="11" t="s">
        <v>104</v>
      </c>
      <c r="W89" s="11" t="s">
        <v>104</v>
      </c>
      <c r="X89" s="11" t="s">
        <v>90</v>
      </c>
      <c r="Y89" s="11" t="s">
        <v>90</v>
      </c>
      <c r="Z89" s="11" t="s">
        <v>90</v>
      </c>
      <c r="AA89" s="11" t="s">
        <v>198</v>
      </c>
      <c r="AB89" s="11" t="s">
        <v>90</v>
      </c>
      <c r="AC89" s="9"/>
      <c r="AD89" s="31" t="s">
        <v>177</v>
      </c>
      <c r="AE89" s="13"/>
    </row>
    <row r="90" customFormat="false" ht="12.75" hidden="false" customHeight="false" outlineLevel="0" collapsed="false">
      <c r="A90" s="11" t="s">
        <v>188</v>
      </c>
      <c r="B90" s="11" t="s">
        <v>218</v>
      </c>
      <c r="C90" s="11" t="n">
        <v>181859</v>
      </c>
      <c r="D90" s="11" t="n">
        <v>492792</v>
      </c>
      <c r="E90" s="29" t="n">
        <v>181855.1</v>
      </c>
      <c r="F90" s="29" t="n">
        <v>492792.7</v>
      </c>
      <c r="G90" s="23" t="n">
        <v>45222.5088773148</v>
      </c>
      <c r="H90" s="11" t="n">
        <v>0.6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s">
        <v>108</v>
      </c>
      <c r="O90" s="11" t="s">
        <v>108</v>
      </c>
      <c r="P90" s="11" t="s">
        <v>108</v>
      </c>
      <c r="Q90" s="11" t="s">
        <v>108</v>
      </c>
      <c r="R90" s="11" t="s">
        <v>108</v>
      </c>
      <c r="S90" s="11" t="s">
        <v>104</v>
      </c>
      <c r="T90" s="11" t="s">
        <v>104</v>
      </c>
      <c r="U90" s="11" t="s">
        <v>104</v>
      </c>
      <c r="V90" s="11" t="s">
        <v>104</v>
      </c>
      <c r="W90" s="11" t="s">
        <v>104</v>
      </c>
      <c r="X90" s="11" t="s">
        <v>90</v>
      </c>
      <c r="Y90" s="11" t="s">
        <v>90</v>
      </c>
      <c r="Z90" s="11" t="s">
        <v>90</v>
      </c>
      <c r="AA90" s="11" t="s">
        <v>90</v>
      </c>
      <c r="AB90" s="11" t="s">
        <v>90</v>
      </c>
      <c r="AC90" s="9"/>
      <c r="AD90" s="31" t="s">
        <v>177</v>
      </c>
      <c r="AE90" s="13"/>
    </row>
    <row r="91" customFormat="false" ht="12.75" hidden="false" customHeight="false" outlineLevel="0" collapsed="false">
      <c r="A91" s="11" t="s">
        <v>188</v>
      </c>
      <c r="B91" s="11" t="s">
        <v>219</v>
      </c>
      <c r="C91" s="11" t="n">
        <v>183161</v>
      </c>
      <c r="D91" s="11" t="n">
        <v>493805</v>
      </c>
      <c r="E91" s="29" t="n">
        <v>183157.4</v>
      </c>
      <c r="F91" s="29" t="n">
        <v>493805.8</v>
      </c>
      <c r="G91" s="23" t="n">
        <v>45222.4901041667</v>
      </c>
      <c r="H91" s="11" t="n">
        <v>0.5</v>
      </c>
      <c r="I91" s="11" t="n">
        <v>0.6</v>
      </c>
      <c r="J91" s="11" t="n">
        <v>0</v>
      </c>
      <c r="K91" s="11" t="n">
        <v>0</v>
      </c>
      <c r="L91" s="11" t="n">
        <v>0</v>
      </c>
      <c r="M91" s="11" t="n">
        <v>0</v>
      </c>
      <c r="N91" s="11" t="s">
        <v>108</v>
      </c>
      <c r="O91" s="11" t="s">
        <v>108</v>
      </c>
      <c r="P91" s="11" t="s">
        <v>108</v>
      </c>
      <c r="Q91" s="11" t="s">
        <v>108</v>
      </c>
      <c r="R91" s="11" t="s">
        <v>108</v>
      </c>
      <c r="S91" s="11" t="s">
        <v>104</v>
      </c>
      <c r="T91" s="11" t="s">
        <v>104</v>
      </c>
      <c r="U91" s="11" t="s">
        <v>104</v>
      </c>
      <c r="V91" s="11" t="s">
        <v>104</v>
      </c>
      <c r="W91" s="11" t="s">
        <v>104</v>
      </c>
      <c r="X91" s="11" t="s">
        <v>90</v>
      </c>
      <c r="Y91" s="11" t="s">
        <v>90</v>
      </c>
      <c r="Z91" s="11" t="s">
        <v>90</v>
      </c>
      <c r="AA91" s="11" t="s">
        <v>90</v>
      </c>
      <c r="AB91" s="11" t="s">
        <v>90</v>
      </c>
      <c r="AC91" s="9"/>
      <c r="AD91" s="31" t="s">
        <v>177</v>
      </c>
      <c r="AE91" s="13"/>
    </row>
    <row r="92" customFormat="false" ht="12.75" hidden="false" customHeight="false" outlineLevel="0" collapsed="false">
      <c r="A92" s="11" t="s">
        <v>188</v>
      </c>
      <c r="B92" s="11" t="s">
        <v>220</v>
      </c>
      <c r="C92" s="11" t="n">
        <v>182727</v>
      </c>
      <c r="D92" s="11" t="n">
        <v>494220</v>
      </c>
      <c r="E92" s="29" t="n">
        <v>182726.4</v>
      </c>
      <c r="F92" s="29" t="n">
        <v>494220</v>
      </c>
      <c r="G92" s="23" t="n">
        <v>45222.4774768519</v>
      </c>
      <c r="H92" s="11" t="n">
        <v>3.2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s">
        <v>94</v>
      </c>
      <c r="O92" s="11" t="s">
        <v>94</v>
      </c>
      <c r="P92" s="11" t="s">
        <v>94</v>
      </c>
      <c r="Q92" s="11" t="s">
        <v>94</v>
      </c>
      <c r="R92" s="11" t="s">
        <v>94</v>
      </c>
      <c r="S92" s="11" t="s">
        <v>97</v>
      </c>
      <c r="T92" s="11" t="s">
        <v>97</v>
      </c>
      <c r="U92" s="11" t="s">
        <v>97</v>
      </c>
      <c r="V92" s="11" t="s">
        <v>89</v>
      </c>
      <c r="W92" s="11" t="s">
        <v>89</v>
      </c>
      <c r="X92" s="11" t="s">
        <v>90</v>
      </c>
      <c r="Y92" s="11" t="s">
        <v>90</v>
      </c>
      <c r="Z92" s="11" t="s">
        <v>90</v>
      </c>
      <c r="AA92" s="11" t="s">
        <v>90</v>
      </c>
      <c r="AB92" s="11" t="s">
        <v>90</v>
      </c>
      <c r="AC92" s="9"/>
      <c r="AD92" s="31" t="s">
        <v>177</v>
      </c>
      <c r="AE92" s="13"/>
    </row>
    <row r="93" customFormat="false" ht="12.75" hidden="false" customHeight="false" outlineLevel="0" collapsed="false">
      <c r="A93" s="11" t="s">
        <v>188</v>
      </c>
      <c r="B93" s="11" t="s">
        <v>221</v>
      </c>
      <c r="C93" s="11" t="n">
        <v>183341</v>
      </c>
      <c r="D93" s="11" t="n">
        <v>494851</v>
      </c>
      <c r="E93" s="29" t="n">
        <v>183322.1</v>
      </c>
      <c r="F93" s="29" t="n">
        <v>494892.9</v>
      </c>
      <c r="G93" s="23" t="n">
        <v>45222.4688310185</v>
      </c>
      <c r="H93" s="11" t="n">
        <v>3.6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s">
        <v>94</v>
      </c>
      <c r="O93" s="11" t="s">
        <v>94</v>
      </c>
      <c r="P93" s="11" t="s">
        <v>94</v>
      </c>
      <c r="Q93" s="11" t="s">
        <v>94</v>
      </c>
      <c r="R93" s="11" t="s">
        <v>94</v>
      </c>
      <c r="S93" s="11" t="s">
        <v>89</v>
      </c>
      <c r="T93" s="11" t="s">
        <v>89</v>
      </c>
      <c r="U93" s="11" t="s">
        <v>89</v>
      </c>
      <c r="V93" s="11" t="s">
        <v>89</v>
      </c>
      <c r="W93" s="11" t="s">
        <v>89</v>
      </c>
      <c r="X93" s="11" t="s">
        <v>90</v>
      </c>
      <c r="Y93" s="11" t="s">
        <v>90</v>
      </c>
      <c r="Z93" s="11" t="s">
        <v>90</v>
      </c>
      <c r="AA93" s="11" t="s">
        <v>90</v>
      </c>
      <c r="AB93" s="11" t="s">
        <v>90</v>
      </c>
      <c r="AC93" s="9"/>
      <c r="AD93" s="31" t="s">
        <v>177</v>
      </c>
      <c r="AE93" s="13" t="s">
        <v>182</v>
      </c>
    </row>
    <row r="94" customFormat="false" ht="12.75" hidden="false" customHeight="false" outlineLevel="0" collapsed="false">
      <c r="A94" s="11" t="s">
        <v>188</v>
      </c>
      <c r="B94" s="11" t="s">
        <v>222</v>
      </c>
      <c r="C94" s="11" t="n">
        <v>184228</v>
      </c>
      <c r="D94" s="11" t="n">
        <v>496169</v>
      </c>
      <c r="E94" s="29" t="n">
        <v>184227</v>
      </c>
      <c r="F94" s="29" t="n">
        <v>496170.8</v>
      </c>
      <c r="G94" s="23" t="n">
        <v>45222.4580902778</v>
      </c>
      <c r="H94" s="11" t="n">
        <v>0.6</v>
      </c>
      <c r="I94" s="11" t="n">
        <v>0</v>
      </c>
      <c r="J94" s="11" t="n">
        <v>0.1</v>
      </c>
      <c r="K94" s="11" t="n">
        <v>0</v>
      </c>
      <c r="L94" s="11" t="n">
        <v>0</v>
      </c>
      <c r="M94" s="11" t="n">
        <v>0</v>
      </c>
      <c r="N94" s="11" t="s">
        <v>108</v>
      </c>
      <c r="O94" s="11" t="s">
        <v>108</v>
      </c>
      <c r="P94" s="11" t="s">
        <v>108</v>
      </c>
      <c r="Q94" s="11" t="s">
        <v>108</v>
      </c>
      <c r="R94" s="11" t="s">
        <v>108</v>
      </c>
      <c r="S94" s="11" t="s">
        <v>104</v>
      </c>
      <c r="T94" s="11" t="s">
        <v>104</v>
      </c>
      <c r="U94" s="11" t="s">
        <v>104</v>
      </c>
      <c r="V94" s="11" t="s">
        <v>104</v>
      </c>
      <c r="W94" s="11" t="s">
        <v>104</v>
      </c>
      <c r="X94" s="11" t="s">
        <v>90</v>
      </c>
      <c r="Y94" s="11" t="s">
        <v>90</v>
      </c>
      <c r="Z94" s="11" t="s">
        <v>90</v>
      </c>
      <c r="AA94" s="11" t="s">
        <v>90</v>
      </c>
      <c r="AB94" s="11" t="s">
        <v>90</v>
      </c>
      <c r="AC94" s="9"/>
      <c r="AD94" s="31" t="s">
        <v>177</v>
      </c>
      <c r="AE94" s="13"/>
    </row>
    <row r="95" customFormat="false" ht="12.75" hidden="false" customHeight="false" outlineLevel="0" collapsed="false">
      <c r="A95" s="11" t="s">
        <v>223</v>
      </c>
      <c r="B95" s="11" t="s">
        <v>224</v>
      </c>
      <c r="C95" s="11" t="n">
        <v>167907</v>
      </c>
      <c r="D95" s="11" t="n">
        <v>482787</v>
      </c>
      <c r="E95" s="29" t="n">
        <v>167907.7</v>
      </c>
      <c r="F95" s="29" t="n">
        <v>482785.4</v>
      </c>
      <c r="G95" s="23" t="n">
        <v>45224.4772569445</v>
      </c>
      <c r="H95" s="11" t="n">
        <v>0.6</v>
      </c>
      <c r="I95" s="11" t="n">
        <v>1.2</v>
      </c>
      <c r="J95" s="11" t="n">
        <v>0.2</v>
      </c>
      <c r="K95" s="11" t="n">
        <v>0</v>
      </c>
      <c r="L95" s="11" t="n">
        <v>0</v>
      </c>
      <c r="M95" s="11" t="n">
        <v>0</v>
      </c>
      <c r="N95" s="11" t="s">
        <v>108</v>
      </c>
      <c r="O95" s="11" t="s">
        <v>108</v>
      </c>
      <c r="P95" s="11" t="s">
        <v>108</v>
      </c>
      <c r="Q95" s="11" t="s">
        <v>108</v>
      </c>
      <c r="R95" s="11" t="s">
        <v>108</v>
      </c>
      <c r="S95" s="11" t="s">
        <v>104</v>
      </c>
      <c r="T95" s="11" t="s">
        <v>104</v>
      </c>
      <c r="U95" s="11" t="s">
        <v>104</v>
      </c>
      <c r="V95" s="11" t="s">
        <v>104</v>
      </c>
      <c r="W95" s="11" t="s">
        <v>104</v>
      </c>
      <c r="X95" s="11" t="s">
        <v>198</v>
      </c>
      <c r="Y95" s="11" t="s">
        <v>198</v>
      </c>
      <c r="Z95" s="11" t="s">
        <v>198</v>
      </c>
      <c r="AA95" s="11" t="s">
        <v>90</v>
      </c>
      <c r="AB95" s="11" t="s">
        <v>198</v>
      </c>
      <c r="AC95" s="11"/>
      <c r="AD95" s="18" t="s">
        <v>225</v>
      </c>
      <c r="AE95" s="20"/>
    </row>
    <row r="96" customFormat="false" ht="12.75" hidden="false" customHeight="false" outlineLevel="0" collapsed="false">
      <c r="A96" s="11" t="s">
        <v>223</v>
      </c>
      <c r="B96" s="11" t="s">
        <v>226</v>
      </c>
      <c r="C96" s="11" t="n">
        <v>166976</v>
      </c>
      <c r="D96" s="11" t="n">
        <v>483352</v>
      </c>
      <c r="E96" s="29" t="n">
        <v>166976.1</v>
      </c>
      <c r="F96" s="29" t="n">
        <v>483353.7</v>
      </c>
      <c r="G96" s="23" t="n">
        <v>45224.4623958333</v>
      </c>
      <c r="H96" s="11" t="n">
        <v>4.1</v>
      </c>
      <c r="I96" s="11" t="n">
        <v>3</v>
      </c>
      <c r="J96" s="11" t="n">
        <v>0.4</v>
      </c>
      <c r="K96" s="11" t="n">
        <v>0</v>
      </c>
      <c r="L96" s="11" t="n">
        <v>0</v>
      </c>
      <c r="M96" s="11" t="n">
        <v>3</v>
      </c>
      <c r="N96" s="11" t="s">
        <v>94</v>
      </c>
      <c r="O96" s="11" t="s">
        <v>94</v>
      </c>
      <c r="P96" s="11" t="s">
        <v>100</v>
      </c>
      <c r="Q96" s="11" t="s">
        <v>94</v>
      </c>
      <c r="R96" s="11" t="s">
        <v>94</v>
      </c>
      <c r="S96" s="11" t="s">
        <v>89</v>
      </c>
      <c r="T96" s="11" t="s">
        <v>89</v>
      </c>
      <c r="U96" s="11" t="s">
        <v>89</v>
      </c>
      <c r="V96" s="11" t="s">
        <v>89</v>
      </c>
      <c r="W96" s="11" t="s">
        <v>89</v>
      </c>
      <c r="X96" s="11" t="s">
        <v>90</v>
      </c>
      <c r="Y96" s="11" t="s">
        <v>90</v>
      </c>
      <c r="Z96" s="11" t="s">
        <v>113</v>
      </c>
      <c r="AA96" s="11" t="s">
        <v>90</v>
      </c>
      <c r="AB96" s="11" t="s">
        <v>90</v>
      </c>
      <c r="AC96" s="11"/>
      <c r="AD96" s="20" t="s">
        <v>225</v>
      </c>
      <c r="AE96" s="20"/>
    </row>
    <row r="97" customFormat="false" ht="12.75" hidden="false" customHeight="false" outlineLevel="0" collapsed="false">
      <c r="A97" s="11" t="s">
        <v>223</v>
      </c>
      <c r="B97" s="11" t="s">
        <v>227</v>
      </c>
      <c r="C97" s="11" t="n">
        <v>166194</v>
      </c>
      <c r="D97" s="11" t="n">
        <v>483756</v>
      </c>
      <c r="E97" s="29" t="n">
        <v>166191.6</v>
      </c>
      <c r="F97" s="29" t="n">
        <v>483755.9</v>
      </c>
      <c r="G97" s="23" t="n">
        <v>45224.4556018519</v>
      </c>
      <c r="H97" s="11" t="n">
        <v>1.8</v>
      </c>
      <c r="I97" s="11" t="n">
        <v>1.2</v>
      </c>
      <c r="J97" s="11" t="n">
        <v>0</v>
      </c>
      <c r="K97" s="11" t="n">
        <v>0</v>
      </c>
      <c r="L97" s="11" t="n">
        <v>0</v>
      </c>
      <c r="M97" s="11" t="n">
        <v>0</v>
      </c>
      <c r="N97" s="11" t="s">
        <v>108</v>
      </c>
      <c r="O97" s="11" t="s">
        <v>108</v>
      </c>
      <c r="P97" s="11" t="s">
        <v>108</v>
      </c>
      <c r="Q97" s="11" t="s">
        <v>108</v>
      </c>
      <c r="R97" s="11" t="s">
        <v>108</v>
      </c>
      <c r="S97" s="11" t="s">
        <v>104</v>
      </c>
      <c r="T97" s="11" t="s">
        <v>104</v>
      </c>
      <c r="U97" s="11" t="s">
        <v>104</v>
      </c>
      <c r="V97" s="11" t="s">
        <v>104</v>
      </c>
      <c r="W97" s="11" t="s">
        <v>104</v>
      </c>
      <c r="X97" s="11" t="s">
        <v>198</v>
      </c>
      <c r="Y97" s="11" t="s">
        <v>90</v>
      </c>
      <c r="Z97" s="11" t="s">
        <v>198</v>
      </c>
      <c r="AA97" s="11" t="s">
        <v>198</v>
      </c>
      <c r="AB97" s="11" t="s">
        <v>198</v>
      </c>
      <c r="AC97" s="11"/>
      <c r="AD97" s="20" t="s">
        <v>225</v>
      </c>
      <c r="AE97" s="20"/>
    </row>
    <row r="98" customFormat="false" ht="12.75" hidden="false" customHeight="false" outlineLevel="0" collapsed="false">
      <c r="A98" s="11" t="s">
        <v>223</v>
      </c>
      <c r="B98" s="11" t="s">
        <v>228</v>
      </c>
      <c r="C98" s="11" t="n">
        <v>165529</v>
      </c>
      <c r="D98" s="11" t="n">
        <v>484156</v>
      </c>
      <c r="E98" s="29" t="n">
        <v>165550.1</v>
      </c>
      <c r="F98" s="29" t="n">
        <v>484171.7</v>
      </c>
      <c r="G98" s="23" t="n">
        <v>45224.3513888889</v>
      </c>
      <c r="H98" s="11" t="n">
        <v>2.2</v>
      </c>
      <c r="I98" s="11" t="n">
        <v>0.1</v>
      </c>
      <c r="J98" s="11" t="n">
        <v>0</v>
      </c>
      <c r="K98" s="11" t="n">
        <v>0</v>
      </c>
      <c r="L98" s="11" t="n">
        <v>0</v>
      </c>
      <c r="M98" s="11" t="n">
        <v>0</v>
      </c>
      <c r="N98" s="11" t="s">
        <v>116</v>
      </c>
      <c r="O98" s="11" t="s">
        <v>116</v>
      </c>
      <c r="P98" s="11" t="s">
        <v>116</v>
      </c>
      <c r="Q98" s="11" t="s">
        <v>103</v>
      </c>
      <c r="R98" s="11" t="s">
        <v>103</v>
      </c>
      <c r="S98" s="11" t="s">
        <v>97</v>
      </c>
      <c r="T98" s="11" t="s">
        <v>97</v>
      </c>
      <c r="U98" s="11" t="s">
        <v>97</v>
      </c>
      <c r="V98" s="11" t="s">
        <v>104</v>
      </c>
      <c r="W98" s="11" t="s">
        <v>104</v>
      </c>
      <c r="X98" s="11" t="s">
        <v>90</v>
      </c>
      <c r="Y98" s="11" t="s">
        <v>90</v>
      </c>
      <c r="Z98" s="11" t="s">
        <v>90</v>
      </c>
      <c r="AA98" s="11" t="s">
        <v>90</v>
      </c>
      <c r="AB98" s="11" t="s">
        <v>90</v>
      </c>
      <c r="AC98" s="11"/>
      <c r="AD98" s="20" t="s">
        <v>225</v>
      </c>
      <c r="AE98" s="20" t="s">
        <v>229</v>
      </c>
    </row>
    <row r="99" customFormat="false" ht="12.75" hidden="false" customHeight="false" outlineLevel="0" collapsed="false">
      <c r="A99" s="11" t="s">
        <v>223</v>
      </c>
      <c r="B99" s="11" t="s">
        <v>230</v>
      </c>
      <c r="C99" s="11" t="n">
        <v>168324</v>
      </c>
      <c r="D99" s="11" t="n">
        <v>482904</v>
      </c>
      <c r="E99" s="29" t="n">
        <v>168322.6</v>
      </c>
      <c r="F99" s="29" t="n">
        <v>482907.7</v>
      </c>
      <c r="G99" s="23" t="n">
        <v>45224.4843287037</v>
      </c>
      <c r="H99" s="11" t="n">
        <v>0.6</v>
      </c>
      <c r="I99" s="11" t="n">
        <v>2</v>
      </c>
      <c r="J99" s="11" t="n">
        <v>0</v>
      </c>
      <c r="K99" s="11" t="n">
        <v>0</v>
      </c>
      <c r="L99" s="11" t="n">
        <v>0</v>
      </c>
      <c r="M99" s="11" t="n">
        <v>2</v>
      </c>
      <c r="N99" s="11" t="s">
        <v>108</v>
      </c>
      <c r="O99" s="11" t="s">
        <v>108</v>
      </c>
      <c r="P99" s="11" t="s">
        <v>108</v>
      </c>
      <c r="Q99" s="11" t="s">
        <v>108</v>
      </c>
      <c r="R99" s="11" t="s">
        <v>108</v>
      </c>
      <c r="S99" s="11" t="s">
        <v>104</v>
      </c>
      <c r="T99" s="11" t="s">
        <v>104</v>
      </c>
      <c r="U99" s="11" t="s">
        <v>104</v>
      </c>
      <c r="V99" s="11" t="s">
        <v>104</v>
      </c>
      <c r="W99" s="11" t="s">
        <v>104</v>
      </c>
      <c r="X99" s="11" t="s">
        <v>198</v>
      </c>
      <c r="Y99" s="11" t="s">
        <v>90</v>
      </c>
      <c r="Z99" s="11" t="s">
        <v>198</v>
      </c>
      <c r="AA99" s="11" t="s">
        <v>90</v>
      </c>
      <c r="AB99" s="11" t="s">
        <v>198</v>
      </c>
      <c r="AC99" s="11"/>
      <c r="AD99" s="20" t="s">
        <v>225</v>
      </c>
      <c r="AE99" s="20"/>
    </row>
    <row r="100" customFormat="false" ht="12.75" hidden="false" customHeight="false" outlineLevel="0" collapsed="false">
      <c r="A100" s="11" t="s">
        <v>223</v>
      </c>
      <c r="B100" s="11" t="s">
        <v>231</v>
      </c>
      <c r="C100" s="11" t="n">
        <v>167496</v>
      </c>
      <c r="D100" s="11" t="n">
        <v>483480</v>
      </c>
      <c r="E100" s="29" t="n">
        <v>167500.2</v>
      </c>
      <c r="F100" s="29" t="n">
        <v>483477.3</v>
      </c>
      <c r="G100" s="23" t="n">
        <v>45224.4690393519</v>
      </c>
      <c r="H100" s="11" t="n">
        <v>1.5</v>
      </c>
      <c r="I100" s="11" t="n">
        <v>5.1</v>
      </c>
      <c r="J100" s="11" t="n">
        <v>1.4</v>
      </c>
      <c r="K100" s="11" t="n">
        <v>0</v>
      </c>
      <c r="L100" s="11" t="n">
        <v>0</v>
      </c>
      <c r="M100" s="11" t="n">
        <v>2</v>
      </c>
      <c r="N100" s="11" t="s">
        <v>108</v>
      </c>
      <c r="O100" s="11" t="s">
        <v>103</v>
      </c>
      <c r="P100" s="11" t="s">
        <v>108</v>
      </c>
      <c r="Q100" s="11" t="s">
        <v>108</v>
      </c>
      <c r="R100" s="11" t="s">
        <v>108</v>
      </c>
      <c r="S100" s="11" t="s">
        <v>104</v>
      </c>
      <c r="T100" s="11" t="s">
        <v>104</v>
      </c>
      <c r="U100" s="11" t="s">
        <v>104</v>
      </c>
      <c r="V100" s="11" t="s">
        <v>104</v>
      </c>
      <c r="W100" s="11" t="s">
        <v>104</v>
      </c>
      <c r="X100" s="11" t="s">
        <v>232</v>
      </c>
      <c r="Y100" s="11" t="s">
        <v>233</v>
      </c>
      <c r="Z100" s="11" t="s">
        <v>198</v>
      </c>
      <c r="AA100" s="11" t="s">
        <v>234</v>
      </c>
      <c r="AB100" s="11" t="s">
        <v>232</v>
      </c>
      <c r="AC100" s="11" t="s">
        <v>95</v>
      </c>
      <c r="AD100" s="20" t="s">
        <v>225</v>
      </c>
      <c r="AE100" s="20" t="s">
        <v>124</v>
      </c>
    </row>
    <row r="101" customFormat="false" ht="12.75" hidden="false" customHeight="false" outlineLevel="0" collapsed="false">
      <c r="A101" s="11" t="s">
        <v>223</v>
      </c>
      <c r="B101" s="11" t="s">
        <v>235</v>
      </c>
      <c r="C101" s="11" t="n">
        <v>166840</v>
      </c>
      <c r="D101" s="11" t="n">
        <v>484052</v>
      </c>
      <c r="E101" s="29" t="n">
        <v>166839.1</v>
      </c>
      <c r="F101" s="29" t="n">
        <v>484049.9</v>
      </c>
      <c r="G101" s="23" t="n">
        <v>45224.4483912037</v>
      </c>
      <c r="H101" s="11" t="n">
        <v>4.2</v>
      </c>
      <c r="I101" s="11" t="n">
        <v>4</v>
      </c>
      <c r="J101" s="11" t="n">
        <v>0</v>
      </c>
      <c r="K101" s="11" t="n">
        <v>0</v>
      </c>
      <c r="L101" s="11" t="n">
        <v>0</v>
      </c>
      <c r="M101" s="11" t="n">
        <v>4</v>
      </c>
      <c r="N101" s="11" t="s">
        <v>94</v>
      </c>
      <c r="O101" s="11" t="s">
        <v>94</v>
      </c>
      <c r="P101" s="11" t="s">
        <v>94</v>
      </c>
      <c r="Q101" s="11" t="s">
        <v>94</v>
      </c>
      <c r="R101" s="11" t="s">
        <v>94</v>
      </c>
      <c r="S101" s="11" t="s">
        <v>89</v>
      </c>
      <c r="T101" s="11" t="s">
        <v>89</v>
      </c>
      <c r="U101" s="11" t="s">
        <v>89</v>
      </c>
      <c r="V101" s="11" t="s">
        <v>89</v>
      </c>
      <c r="W101" s="11" t="s">
        <v>89</v>
      </c>
      <c r="X101" s="11" t="s">
        <v>113</v>
      </c>
      <c r="Y101" s="11" t="s">
        <v>90</v>
      </c>
      <c r="Z101" s="11" t="s">
        <v>90</v>
      </c>
      <c r="AA101" s="11" t="s">
        <v>90</v>
      </c>
      <c r="AB101" s="11" t="s">
        <v>90</v>
      </c>
      <c r="AC101" s="11"/>
      <c r="AD101" s="20" t="s">
        <v>225</v>
      </c>
      <c r="AE101" s="20"/>
    </row>
    <row r="102" customFormat="false" ht="12.75" hidden="false" customHeight="false" outlineLevel="0" collapsed="false">
      <c r="A102" s="11" t="s">
        <v>223</v>
      </c>
      <c r="B102" s="11" t="s">
        <v>236</v>
      </c>
      <c r="C102" s="11" t="n">
        <v>166248</v>
      </c>
      <c r="D102" s="11" t="n">
        <v>484391</v>
      </c>
      <c r="E102" s="29" t="n">
        <v>166245.9</v>
      </c>
      <c r="F102" s="29" t="n">
        <v>484388</v>
      </c>
      <c r="G102" s="23" t="n">
        <v>45224.3596296296</v>
      </c>
      <c r="H102" s="11" t="n">
        <v>2</v>
      </c>
      <c r="I102" s="11" t="n">
        <v>6.5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s">
        <v>103</v>
      </c>
      <c r="O102" s="11" t="s">
        <v>103</v>
      </c>
      <c r="P102" s="11" t="s">
        <v>108</v>
      </c>
      <c r="Q102" s="11" t="s">
        <v>103</v>
      </c>
      <c r="R102" s="11" t="s">
        <v>108</v>
      </c>
      <c r="S102" s="11" t="s">
        <v>104</v>
      </c>
      <c r="T102" s="11" t="s">
        <v>104</v>
      </c>
      <c r="U102" s="11" t="s">
        <v>104</v>
      </c>
      <c r="V102" s="11" t="s">
        <v>104</v>
      </c>
      <c r="W102" s="11" t="s">
        <v>104</v>
      </c>
      <c r="X102" s="11" t="s">
        <v>198</v>
      </c>
      <c r="Y102" s="11" t="s">
        <v>198</v>
      </c>
      <c r="Z102" s="11" t="s">
        <v>198</v>
      </c>
      <c r="AA102" s="11" t="s">
        <v>198</v>
      </c>
      <c r="AB102" s="11" t="s">
        <v>198</v>
      </c>
      <c r="AC102" s="11" t="s">
        <v>95</v>
      </c>
      <c r="AD102" s="20" t="s">
        <v>225</v>
      </c>
      <c r="AE102" s="20"/>
    </row>
    <row r="103" customFormat="false" ht="12.75" hidden="false" customHeight="false" outlineLevel="0" collapsed="false">
      <c r="A103" s="11" t="s">
        <v>223</v>
      </c>
      <c r="B103" s="11" t="s">
        <v>237</v>
      </c>
      <c r="C103" s="11" t="n">
        <v>165884</v>
      </c>
      <c r="D103" s="11" t="n">
        <v>484730</v>
      </c>
      <c r="E103" s="29" t="n">
        <v>165887.7</v>
      </c>
      <c r="F103" s="29" t="n">
        <v>484729.7</v>
      </c>
      <c r="G103" s="23" t="n">
        <v>45224.3446412037</v>
      </c>
      <c r="H103" s="11" t="n">
        <v>2.1</v>
      </c>
      <c r="I103" s="11" t="n">
        <v>0.2</v>
      </c>
      <c r="J103" s="11" t="n">
        <v>0.1</v>
      </c>
      <c r="K103" s="11" t="n">
        <v>0</v>
      </c>
      <c r="L103" s="11" t="n">
        <v>0</v>
      </c>
      <c r="M103" s="11" t="n">
        <v>0</v>
      </c>
      <c r="N103" s="11" t="s">
        <v>100</v>
      </c>
      <c r="O103" s="11" t="s">
        <v>100</v>
      </c>
      <c r="P103" s="11" t="s">
        <v>100</v>
      </c>
      <c r="Q103" s="11" t="s">
        <v>238</v>
      </c>
      <c r="R103" s="11" t="s">
        <v>100</v>
      </c>
      <c r="S103" s="11" t="s">
        <v>101</v>
      </c>
      <c r="T103" s="11" t="s">
        <v>101</v>
      </c>
      <c r="U103" s="11" t="s">
        <v>89</v>
      </c>
      <c r="V103" s="11" t="s">
        <v>89</v>
      </c>
      <c r="W103" s="11" t="s">
        <v>89</v>
      </c>
      <c r="X103" s="11" t="s">
        <v>90</v>
      </c>
      <c r="Y103" s="11" t="s">
        <v>90</v>
      </c>
      <c r="Z103" s="11" t="s">
        <v>90</v>
      </c>
      <c r="AA103" s="11" t="s">
        <v>90</v>
      </c>
      <c r="AB103" s="11" t="s">
        <v>198</v>
      </c>
      <c r="AC103" s="11"/>
      <c r="AD103" s="20" t="s">
        <v>225</v>
      </c>
      <c r="AE103" s="20"/>
    </row>
    <row r="104" customFormat="false" ht="12.75" hidden="false" customHeight="false" outlineLevel="0" collapsed="false">
      <c r="A104" s="11" t="s">
        <v>223</v>
      </c>
      <c r="B104" s="11" t="s">
        <v>239</v>
      </c>
      <c r="C104" s="11" t="n">
        <v>169179</v>
      </c>
      <c r="D104" s="11" t="n">
        <v>483409</v>
      </c>
      <c r="E104" s="29" t="n">
        <v>169181.2</v>
      </c>
      <c r="F104" s="29" t="n">
        <v>483410</v>
      </c>
      <c r="G104" s="23" t="n">
        <v>45224.4959027778</v>
      </c>
      <c r="H104" s="11" t="n">
        <v>0.5</v>
      </c>
      <c r="I104" s="11" t="n">
        <v>0.1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s">
        <v>108</v>
      </c>
      <c r="O104" s="11" t="s">
        <v>108</v>
      </c>
      <c r="P104" s="11" t="s">
        <v>108</v>
      </c>
      <c r="Q104" s="11" t="s">
        <v>108</v>
      </c>
      <c r="R104" s="11" t="s">
        <v>108</v>
      </c>
      <c r="S104" s="11" t="s">
        <v>104</v>
      </c>
      <c r="T104" s="11" t="s">
        <v>104</v>
      </c>
      <c r="U104" s="11" t="s">
        <v>104</v>
      </c>
      <c r="V104" s="11" t="s">
        <v>104</v>
      </c>
      <c r="W104" s="11" t="s">
        <v>104</v>
      </c>
      <c r="X104" s="11" t="s">
        <v>90</v>
      </c>
      <c r="Y104" s="11" t="s">
        <v>90</v>
      </c>
      <c r="Z104" s="11" t="s">
        <v>90</v>
      </c>
      <c r="AA104" s="11" t="s">
        <v>90</v>
      </c>
      <c r="AB104" s="11" t="s">
        <v>90</v>
      </c>
      <c r="AC104" s="11"/>
      <c r="AD104" s="20" t="s">
        <v>225</v>
      </c>
      <c r="AE104" s="20"/>
    </row>
    <row r="105" customFormat="false" ht="12.75" hidden="false" customHeight="false" outlineLevel="0" collapsed="false">
      <c r="A105" s="11" t="s">
        <v>223</v>
      </c>
      <c r="B105" s="11" t="s">
        <v>240</v>
      </c>
      <c r="C105" s="11" t="n">
        <v>168614</v>
      </c>
      <c r="D105" s="11" t="n">
        <v>483746</v>
      </c>
      <c r="E105" s="29" t="n">
        <v>168615.7</v>
      </c>
      <c r="F105" s="29" t="n">
        <v>483742.4</v>
      </c>
      <c r="G105" s="23" t="n">
        <v>45224.5035069444</v>
      </c>
      <c r="H105" s="11" t="n">
        <v>0.8</v>
      </c>
      <c r="I105" s="11" t="n">
        <v>4</v>
      </c>
      <c r="J105" s="11" t="n">
        <v>0.1</v>
      </c>
      <c r="K105" s="11" t="n">
        <v>0</v>
      </c>
      <c r="L105" s="11" t="n">
        <v>0</v>
      </c>
      <c r="M105" s="11" t="n">
        <v>0</v>
      </c>
      <c r="N105" s="11" t="s">
        <v>108</v>
      </c>
      <c r="O105" s="11" t="s">
        <v>108</v>
      </c>
      <c r="P105" s="11" t="s">
        <v>108</v>
      </c>
      <c r="Q105" s="11" t="s">
        <v>108</v>
      </c>
      <c r="R105" s="11" t="s">
        <v>108</v>
      </c>
      <c r="S105" s="11" t="s">
        <v>104</v>
      </c>
      <c r="T105" s="11" t="s">
        <v>104</v>
      </c>
      <c r="U105" s="11" t="s">
        <v>104</v>
      </c>
      <c r="V105" s="11" t="s">
        <v>104</v>
      </c>
      <c r="W105" s="11" t="s">
        <v>104</v>
      </c>
      <c r="X105" s="11" t="s">
        <v>90</v>
      </c>
      <c r="Y105" s="11" t="s">
        <v>241</v>
      </c>
      <c r="Z105" s="11" t="s">
        <v>242</v>
      </c>
      <c r="AA105" s="11" t="s">
        <v>91</v>
      </c>
      <c r="AB105" s="11" t="s">
        <v>90</v>
      </c>
      <c r="AC105" s="11"/>
      <c r="AD105" s="20" t="s">
        <v>225</v>
      </c>
      <c r="AE105" s="20" t="s">
        <v>201</v>
      </c>
    </row>
    <row r="106" customFormat="false" ht="12.75" hidden="false" customHeight="false" outlineLevel="0" collapsed="false">
      <c r="A106" s="11" t="s">
        <v>223</v>
      </c>
      <c r="B106" s="11" t="s">
        <v>243</v>
      </c>
      <c r="C106" s="11" t="n">
        <v>167704</v>
      </c>
      <c r="D106" s="11" t="n">
        <v>484124</v>
      </c>
      <c r="E106" s="29" t="n">
        <v>167704.1</v>
      </c>
      <c r="F106" s="29" t="n">
        <v>484124.5</v>
      </c>
      <c r="G106" s="23" t="n">
        <v>45224.4402662037</v>
      </c>
      <c r="H106" s="11" t="n">
        <v>1.5</v>
      </c>
      <c r="I106" s="11" t="n">
        <v>1.6</v>
      </c>
      <c r="J106" s="11" t="n">
        <v>0.8</v>
      </c>
      <c r="K106" s="11" t="n">
        <v>0</v>
      </c>
      <c r="L106" s="11" t="n">
        <v>0</v>
      </c>
      <c r="M106" s="11" t="n">
        <v>0</v>
      </c>
      <c r="N106" s="11" t="s">
        <v>100</v>
      </c>
      <c r="O106" s="11" t="s">
        <v>100</v>
      </c>
      <c r="P106" s="11" t="s">
        <v>103</v>
      </c>
      <c r="Q106" s="11" t="s">
        <v>108</v>
      </c>
      <c r="R106" s="11" t="s">
        <v>108</v>
      </c>
      <c r="S106" s="11" t="s">
        <v>89</v>
      </c>
      <c r="T106" s="11" t="s">
        <v>101</v>
      </c>
      <c r="U106" s="11" t="s">
        <v>97</v>
      </c>
      <c r="V106" s="11" t="s">
        <v>104</v>
      </c>
      <c r="W106" s="11" t="s">
        <v>104</v>
      </c>
      <c r="X106" s="11" t="s">
        <v>244</v>
      </c>
      <c r="Y106" s="11" t="s">
        <v>91</v>
      </c>
      <c r="Z106" s="11" t="s">
        <v>198</v>
      </c>
      <c r="AA106" s="11" t="s">
        <v>245</v>
      </c>
      <c r="AB106" s="11" t="s">
        <v>198</v>
      </c>
      <c r="AC106" s="11"/>
      <c r="AD106" s="20" t="s">
        <v>225</v>
      </c>
      <c r="AE106" s="20" t="s">
        <v>124</v>
      </c>
    </row>
    <row r="107" customFormat="false" ht="12.75" hidden="false" customHeight="false" outlineLevel="0" collapsed="false">
      <c r="A107" s="11" t="s">
        <v>223</v>
      </c>
      <c r="B107" s="11" t="s">
        <v>246</v>
      </c>
      <c r="C107" s="11" t="n">
        <v>167452</v>
      </c>
      <c r="D107" s="11" t="n">
        <v>484689</v>
      </c>
      <c r="E107" s="29" t="n">
        <v>167449.3</v>
      </c>
      <c r="F107" s="29" t="n">
        <v>484687.3</v>
      </c>
      <c r="G107" s="23" t="n">
        <v>45224.3675231482</v>
      </c>
      <c r="H107" s="11" t="n">
        <v>3.7</v>
      </c>
      <c r="I107" s="11" t="n">
        <v>2</v>
      </c>
      <c r="J107" s="11" t="n">
        <v>0</v>
      </c>
      <c r="K107" s="11" t="n">
        <v>0</v>
      </c>
      <c r="L107" s="11" t="n">
        <v>0</v>
      </c>
      <c r="M107" s="11" t="n">
        <v>4</v>
      </c>
      <c r="N107" s="11" t="s">
        <v>94</v>
      </c>
      <c r="O107" s="11" t="s">
        <v>116</v>
      </c>
      <c r="P107" s="11" t="s">
        <v>94</v>
      </c>
      <c r="Q107" s="11" t="s">
        <v>94</v>
      </c>
      <c r="R107" s="11" t="s">
        <v>94</v>
      </c>
      <c r="S107" s="11" t="s">
        <v>89</v>
      </c>
      <c r="T107" s="11" t="s">
        <v>97</v>
      </c>
      <c r="U107" s="11" t="s">
        <v>89</v>
      </c>
      <c r="V107" s="11" t="s">
        <v>89</v>
      </c>
      <c r="W107" s="11" t="s">
        <v>89</v>
      </c>
      <c r="X107" s="11" t="s">
        <v>90</v>
      </c>
      <c r="Y107" s="11" t="s">
        <v>113</v>
      </c>
      <c r="Z107" s="11" t="s">
        <v>98</v>
      </c>
      <c r="AA107" s="11" t="s">
        <v>90</v>
      </c>
      <c r="AB107" s="11" t="s">
        <v>90</v>
      </c>
      <c r="AC107" s="11"/>
      <c r="AD107" s="20" t="s">
        <v>225</v>
      </c>
      <c r="AE107" s="20"/>
    </row>
    <row r="108" customFormat="false" ht="12.75" hidden="false" customHeight="false" outlineLevel="0" collapsed="false">
      <c r="A108" s="11" t="s">
        <v>223</v>
      </c>
      <c r="B108" s="11" t="s">
        <v>247</v>
      </c>
      <c r="C108" s="11" t="n">
        <v>166790</v>
      </c>
      <c r="D108" s="11" t="n">
        <v>485047</v>
      </c>
      <c r="E108" s="29" t="n">
        <v>166793.3</v>
      </c>
      <c r="F108" s="29" t="n">
        <v>485047.6</v>
      </c>
      <c r="G108" s="23" t="n">
        <v>45224.3758217593</v>
      </c>
      <c r="H108" s="11" t="n">
        <v>2.2</v>
      </c>
      <c r="I108" s="11" t="n">
        <v>0.1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s">
        <v>88</v>
      </c>
      <c r="O108" s="11" t="s">
        <v>88</v>
      </c>
      <c r="P108" s="11" t="s">
        <v>88</v>
      </c>
      <c r="Q108" s="11" t="s">
        <v>88</v>
      </c>
      <c r="R108" s="11" t="s">
        <v>88</v>
      </c>
      <c r="S108" s="11" t="s">
        <v>109</v>
      </c>
      <c r="T108" s="11" t="s">
        <v>109</v>
      </c>
      <c r="U108" s="11" t="s">
        <v>109</v>
      </c>
      <c r="V108" s="11" t="s">
        <v>109</v>
      </c>
      <c r="W108" s="11" t="s">
        <v>109</v>
      </c>
      <c r="X108" s="11" t="s">
        <v>90</v>
      </c>
      <c r="Y108" s="11" t="s">
        <v>90</v>
      </c>
      <c r="Z108" s="11" t="s">
        <v>90</v>
      </c>
      <c r="AA108" s="11" t="s">
        <v>90</v>
      </c>
      <c r="AB108" s="11" t="s">
        <v>90</v>
      </c>
      <c r="AC108" s="11"/>
      <c r="AD108" s="20" t="s">
        <v>225</v>
      </c>
      <c r="AE108" s="20"/>
    </row>
    <row r="109" customFormat="false" ht="12.75" hidden="false" customHeight="false" outlineLevel="0" collapsed="false">
      <c r="A109" s="11" t="s">
        <v>223</v>
      </c>
      <c r="B109" s="11" t="s">
        <v>248</v>
      </c>
      <c r="C109" s="11" t="n">
        <v>169573</v>
      </c>
      <c r="D109" s="11" t="n">
        <v>484224</v>
      </c>
      <c r="E109" s="29" t="n">
        <v>169575.4</v>
      </c>
      <c r="F109" s="29" t="n">
        <v>484223.7</v>
      </c>
      <c r="G109" s="23" t="n">
        <v>45224.5134027778</v>
      </c>
      <c r="H109" s="11" t="n">
        <v>0.7</v>
      </c>
      <c r="I109" s="11" t="n">
        <v>3.5</v>
      </c>
      <c r="J109" s="11" t="n">
        <v>0.4</v>
      </c>
      <c r="K109" s="11" t="n">
        <v>0</v>
      </c>
      <c r="L109" s="11" t="n">
        <v>0</v>
      </c>
      <c r="M109" s="11" t="n">
        <v>0</v>
      </c>
      <c r="N109" s="11" t="s">
        <v>108</v>
      </c>
      <c r="O109" s="11" t="s">
        <v>108</v>
      </c>
      <c r="P109" s="11" t="s">
        <v>108</v>
      </c>
      <c r="Q109" s="11" t="s">
        <v>108</v>
      </c>
      <c r="R109" s="11" t="s">
        <v>108</v>
      </c>
      <c r="S109" s="11" t="s">
        <v>104</v>
      </c>
      <c r="T109" s="11" t="s">
        <v>104</v>
      </c>
      <c r="U109" s="11" t="s">
        <v>104</v>
      </c>
      <c r="V109" s="11" t="s">
        <v>104</v>
      </c>
      <c r="W109" s="11" t="s">
        <v>104</v>
      </c>
      <c r="X109" s="11" t="s">
        <v>198</v>
      </c>
      <c r="Y109" s="11" t="s">
        <v>198</v>
      </c>
      <c r="Z109" s="11" t="s">
        <v>233</v>
      </c>
      <c r="AA109" s="11" t="s">
        <v>90</v>
      </c>
      <c r="AB109" s="11" t="s">
        <v>90</v>
      </c>
      <c r="AC109" s="11" t="s">
        <v>95</v>
      </c>
      <c r="AD109" s="20" t="s">
        <v>225</v>
      </c>
      <c r="AE109" s="20"/>
    </row>
    <row r="110" customFormat="false" ht="12.75" hidden="false" customHeight="false" outlineLevel="0" collapsed="false">
      <c r="A110" s="11" t="s">
        <v>223</v>
      </c>
      <c r="B110" s="11" t="s">
        <v>249</v>
      </c>
      <c r="C110" s="11" t="n">
        <v>168708</v>
      </c>
      <c r="D110" s="11" t="n">
        <v>484735</v>
      </c>
      <c r="E110" s="29" t="n">
        <v>168705.9</v>
      </c>
      <c r="F110" s="29" t="n">
        <v>484732</v>
      </c>
      <c r="G110" s="23" t="n">
        <v>45224.4302083333</v>
      </c>
      <c r="H110" s="11" t="n">
        <v>1.6</v>
      </c>
      <c r="I110" s="11" t="n">
        <v>2.6</v>
      </c>
      <c r="J110" s="11" t="n">
        <v>0.2</v>
      </c>
      <c r="K110" s="11" t="n">
        <v>0</v>
      </c>
      <c r="L110" s="11" t="n">
        <v>0</v>
      </c>
      <c r="M110" s="11" t="n">
        <v>0</v>
      </c>
      <c r="N110" s="11" t="s">
        <v>103</v>
      </c>
      <c r="O110" s="11" t="s">
        <v>108</v>
      </c>
      <c r="P110" s="11" t="s">
        <v>108</v>
      </c>
      <c r="Q110" s="11" t="s">
        <v>108</v>
      </c>
      <c r="R110" s="11" t="s">
        <v>108</v>
      </c>
      <c r="S110" s="11" t="s">
        <v>97</v>
      </c>
      <c r="T110" s="11" t="s">
        <v>104</v>
      </c>
      <c r="U110" s="11" t="s">
        <v>104</v>
      </c>
      <c r="V110" s="11" t="s">
        <v>104</v>
      </c>
      <c r="W110" s="11" t="s">
        <v>104</v>
      </c>
      <c r="X110" s="11" t="s">
        <v>198</v>
      </c>
      <c r="Y110" s="11" t="s">
        <v>198</v>
      </c>
      <c r="Z110" s="11" t="s">
        <v>198</v>
      </c>
      <c r="AA110" s="11" t="s">
        <v>198</v>
      </c>
      <c r="AB110" s="11" t="s">
        <v>198</v>
      </c>
      <c r="AC110" s="11"/>
      <c r="AD110" s="20" t="s">
        <v>225</v>
      </c>
      <c r="AE110" s="20"/>
    </row>
    <row r="111" customFormat="false" ht="12.75" hidden="false" customHeight="false" outlineLevel="0" collapsed="false">
      <c r="A111" s="11" t="s">
        <v>223</v>
      </c>
      <c r="B111" s="11" t="s">
        <v>250</v>
      </c>
      <c r="C111" s="11" t="n">
        <v>167954</v>
      </c>
      <c r="D111" s="11" t="n">
        <v>485333</v>
      </c>
      <c r="E111" s="29" t="n">
        <v>167952</v>
      </c>
      <c r="F111" s="29" t="n">
        <v>485335.7</v>
      </c>
      <c r="G111" s="23" t="n">
        <v>45224.3937847222</v>
      </c>
      <c r="H111" s="11" t="n">
        <v>3.7</v>
      </c>
      <c r="I111" s="11" t="n">
        <v>0.6</v>
      </c>
      <c r="J111" s="11" t="n">
        <v>0</v>
      </c>
      <c r="K111" s="11" t="n">
        <v>0</v>
      </c>
      <c r="L111" s="11" t="n">
        <v>0</v>
      </c>
      <c r="M111" s="11" t="n">
        <v>2</v>
      </c>
      <c r="N111" s="11" t="s">
        <v>94</v>
      </c>
      <c r="O111" s="11" t="s">
        <v>116</v>
      </c>
      <c r="P111" s="11" t="s">
        <v>94</v>
      </c>
      <c r="Q111" s="11" t="s">
        <v>94</v>
      </c>
      <c r="R111" s="11" t="s">
        <v>94</v>
      </c>
      <c r="S111" s="11" t="s">
        <v>89</v>
      </c>
      <c r="T111" s="11" t="s">
        <v>89</v>
      </c>
      <c r="U111" s="11" t="s">
        <v>89</v>
      </c>
      <c r="V111" s="11" t="s">
        <v>89</v>
      </c>
      <c r="W111" s="11" t="s">
        <v>89</v>
      </c>
      <c r="X111" s="11" t="s">
        <v>90</v>
      </c>
      <c r="Y111" s="11" t="s">
        <v>98</v>
      </c>
      <c r="Z111" s="11" t="s">
        <v>90</v>
      </c>
      <c r="AA111" s="11" t="s">
        <v>90</v>
      </c>
      <c r="AB111" s="11" t="s">
        <v>98</v>
      </c>
      <c r="AC111" s="11"/>
      <c r="AD111" s="20" t="s">
        <v>225</v>
      </c>
      <c r="AE111" s="20"/>
    </row>
    <row r="112" customFormat="false" ht="12.75" hidden="false" customHeight="false" outlineLevel="0" collapsed="false">
      <c r="A112" s="11" t="s">
        <v>223</v>
      </c>
      <c r="B112" s="11" t="s">
        <v>251</v>
      </c>
      <c r="C112" s="11" t="n">
        <v>167430</v>
      </c>
      <c r="D112" s="11" t="n">
        <v>485520</v>
      </c>
      <c r="E112" s="29" t="n">
        <v>167427.4</v>
      </c>
      <c r="F112" s="29" t="n">
        <v>485522.8</v>
      </c>
      <c r="G112" s="23" t="n">
        <v>45224.3863657407</v>
      </c>
      <c r="H112" s="11" t="n">
        <v>3.5</v>
      </c>
      <c r="I112" s="11" t="n">
        <v>0.1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s">
        <v>94</v>
      </c>
      <c r="O112" s="11" t="s">
        <v>94</v>
      </c>
      <c r="P112" s="11" t="s">
        <v>94</v>
      </c>
      <c r="Q112" s="11" t="s">
        <v>94</v>
      </c>
      <c r="R112" s="11" t="s">
        <v>100</v>
      </c>
      <c r="S112" s="11" t="s">
        <v>89</v>
      </c>
      <c r="T112" s="11" t="s">
        <v>89</v>
      </c>
      <c r="U112" s="11" t="s">
        <v>89</v>
      </c>
      <c r="V112" s="11" t="s">
        <v>89</v>
      </c>
      <c r="W112" s="11" t="s">
        <v>101</v>
      </c>
      <c r="X112" s="11" t="s">
        <v>90</v>
      </c>
      <c r="Y112" s="11" t="s">
        <v>90</v>
      </c>
      <c r="Z112" s="11" t="s">
        <v>90</v>
      </c>
      <c r="AA112" s="11" t="s">
        <v>90</v>
      </c>
      <c r="AB112" s="11" t="s">
        <v>91</v>
      </c>
      <c r="AC112" s="11"/>
      <c r="AD112" s="20" t="s">
        <v>225</v>
      </c>
      <c r="AE112" s="20"/>
    </row>
    <row r="113" customFormat="false" ht="12.75" hidden="false" customHeight="false" outlineLevel="0" collapsed="false">
      <c r="A113" s="11" t="s">
        <v>223</v>
      </c>
      <c r="B113" s="11" t="s">
        <v>252</v>
      </c>
      <c r="C113" s="11" t="n">
        <v>166892</v>
      </c>
      <c r="D113" s="11" t="n">
        <v>485932</v>
      </c>
      <c r="E113" s="29" t="n">
        <v>166895.1</v>
      </c>
      <c r="F113" s="29" t="n">
        <v>485929</v>
      </c>
      <c r="G113" s="23" t="n">
        <v>45224.3353472222</v>
      </c>
      <c r="H113" s="11" t="n">
        <v>2.6</v>
      </c>
      <c r="I113" s="11" t="n">
        <v>0.1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s">
        <v>100</v>
      </c>
      <c r="O113" s="11" t="s">
        <v>100</v>
      </c>
      <c r="P113" s="11" t="s">
        <v>100</v>
      </c>
      <c r="Q113" s="11" t="s">
        <v>100</v>
      </c>
      <c r="R113" s="11" t="s">
        <v>100</v>
      </c>
      <c r="S113" s="11" t="s">
        <v>89</v>
      </c>
      <c r="T113" s="11" t="s">
        <v>89</v>
      </c>
      <c r="U113" s="11" t="s">
        <v>89</v>
      </c>
      <c r="V113" s="11" t="s">
        <v>101</v>
      </c>
      <c r="W113" s="11" t="s">
        <v>89</v>
      </c>
      <c r="X113" s="11" t="s">
        <v>198</v>
      </c>
      <c r="Y113" s="11" t="s">
        <v>90</v>
      </c>
      <c r="Z113" s="11" t="s">
        <v>90</v>
      </c>
      <c r="AA113" s="11" t="s">
        <v>90</v>
      </c>
      <c r="AB113" s="11" t="s">
        <v>90</v>
      </c>
      <c r="AC113" s="11"/>
      <c r="AD113" s="20" t="s">
        <v>225</v>
      </c>
      <c r="AE113" s="20"/>
    </row>
    <row r="114" customFormat="false" ht="12.75" hidden="false" customHeight="false" outlineLevel="0" collapsed="false">
      <c r="A114" s="11" t="s">
        <v>223</v>
      </c>
      <c r="B114" s="11" t="s">
        <v>253</v>
      </c>
      <c r="C114" s="11" t="n">
        <v>170156</v>
      </c>
      <c r="D114" s="11" t="n">
        <v>485154</v>
      </c>
      <c r="E114" s="29" t="n">
        <v>170154</v>
      </c>
      <c r="F114" s="29" t="n">
        <v>485157.3</v>
      </c>
      <c r="G114" s="23" t="n">
        <v>45224.4224768519</v>
      </c>
      <c r="H114" s="11" t="n">
        <v>1</v>
      </c>
      <c r="I114" s="11" t="n">
        <v>5.5</v>
      </c>
      <c r="J114" s="11" t="n">
        <v>0.1</v>
      </c>
      <c r="K114" s="11" t="n">
        <v>0</v>
      </c>
      <c r="L114" s="11" t="n">
        <v>0</v>
      </c>
      <c r="M114" s="11" t="n">
        <v>1</v>
      </c>
      <c r="N114" s="11" t="s">
        <v>108</v>
      </c>
      <c r="O114" s="11" t="s">
        <v>108</v>
      </c>
      <c r="P114" s="11" t="s">
        <v>108</v>
      </c>
      <c r="Q114" s="11" t="s">
        <v>108</v>
      </c>
      <c r="R114" s="11" t="s">
        <v>108</v>
      </c>
      <c r="S114" s="11" t="s">
        <v>104</v>
      </c>
      <c r="T114" s="11" t="s">
        <v>104</v>
      </c>
      <c r="U114" s="11" t="s">
        <v>104</v>
      </c>
      <c r="V114" s="11" t="s">
        <v>104</v>
      </c>
      <c r="W114" s="11" t="s">
        <v>104</v>
      </c>
      <c r="X114" s="11" t="s">
        <v>208</v>
      </c>
      <c r="Y114" s="11" t="s">
        <v>198</v>
      </c>
      <c r="Z114" s="11" t="s">
        <v>208</v>
      </c>
      <c r="AA114" s="11" t="s">
        <v>208</v>
      </c>
      <c r="AB114" s="11" t="s">
        <v>254</v>
      </c>
      <c r="AC114" s="11" t="s">
        <v>95</v>
      </c>
      <c r="AD114" s="20" t="s">
        <v>225</v>
      </c>
      <c r="AE114" s="20" t="s">
        <v>124</v>
      </c>
    </row>
    <row r="115" customFormat="false" ht="12.75" hidden="false" customHeight="false" outlineLevel="0" collapsed="false">
      <c r="A115" s="11" t="s">
        <v>223</v>
      </c>
      <c r="B115" s="11" t="s">
        <v>255</v>
      </c>
      <c r="C115" s="11" t="n">
        <v>169244</v>
      </c>
      <c r="D115" s="11" t="n">
        <v>485543</v>
      </c>
      <c r="E115" s="29" t="n">
        <v>169240.2</v>
      </c>
      <c r="F115" s="29" t="n">
        <v>485540.9</v>
      </c>
      <c r="G115" s="23" t="n">
        <v>45224.4044675926</v>
      </c>
      <c r="H115" s="11" t="n">
        <v>1.5</v>
      </c>
      <c r="I115" s="11" t="n">
        <v>2.8</v>
      </c>
      <c r="J115" s="11" t="n">
        <v>0.2</v>
      </c>
      <c r="K115" s="11" t="n">
        <v>0</v>
      </c>
      <c r="L115" s="11" t="n">
        <v>0</v>
      </c>
      <c r="M115" s="11" t="n">
        <v>0</v>
      </c>
      <c r="N115" s="11" t="s">
        <v>108</v>
      </c>
      <c r="O115" s="11" t="s">
        <v>108</v>
      </c>
      <c r="P115" s="11" t="s">
        <v>108</v>
      </c>
      <c r="Q115" s="11" t="s">
        <v>108</v>
      </c>
      <c r="R115" s="11" t="s">
        <v>108</v>
      </c>
      <c r="S115" s="11" t="s">
        <v>104</v>
      </c>
      <c r="T115" s="11" t="s">
        <v>104</v>
      </c>
      <c r="U115" s="11" t="s">
        <v>104</v>
      </c>
      <c r="V115" s="11" t="s">
        <v>104</v>
      </c>
      <c r="W115" s="11" t="s">
        <v>104</v>
      </c>
      <c r="X115" s="11" t="s">
        <v>91</v>
      </c>
      <c r="Y115" s="11" t="s">
        <v>198</v>
      </c>
      <c r="Z115" s="11" t="s">
        <v>91</v>
      </c>
      <c r="AA115" s="11" t="s">
        <v>198</v>
      </c>
      <c r="AB115" s="11" t="s">
        <v>208</v>
      </c>
      <c r="AC115" s="11"/>
      <c r="AD115" s="20" t="s">
        <v>225</v>
      </c>
      <c r="AE115" s="20"/>
    </row>
    <row r="116" customFormat="false" ht="12.75" hidden="false" customHeight="false" outlineLevel="0" collapsed="false">
      <c r="A116" s="11" t="s">
        <v>223</v>
      </c>
      <c r="B116" s="11" t="s">
        <v>256</v>
      </c>
      <c r="C116" s="11" t="n">
        <v>170252</v>
      </c>
      <c r="D116" s="11" t="n">
        <v>486127</v>
      </c>
      <c r="E116" s="29" t="n">
        <v>170249.2</v>
      </c>
      <c r="F116" s="29" t="n">
        <v>486125.7</v>
      </c>
      <c r="G116" s="23" t="n">
        <v>45224.4143287037</v>
      </c>
      <c r="H116" s="11" t="n">
        <v>1.7</v>
      </c>
      <c r="I116" s="11" t="n">
        <v>0.2</v>
      </c>
      <c r="J116" s="11" t="n">
        <v>0.01</v>
      </c>
      <c r="K116" s="11" t="n">
        <v>0</v>
      </c>
      <c r="L116" s="11" t="n">
        <v>0</v>
      </c>
      <c r="M116" s="11" t="n">
        <v>0</v>
      </c>
      <c r="N116" s="11" t="s">
        <v>94</v>
      </c>
      <c r="O116" s="11" t="s">
        <v>94</v>
      </c>
      <c r="P116" s="11" t="s">
        <v>94</v>
      </c>
      <c r="Q116" s="11" t="s">
        <v>94</v>
      </c>
      <c r="R116" s="11" t="s">
        <v>94</v>
      </c>
      <c r="S116" s="11" t="s">
        <v>89</v>
      </c>
      <c r="T116" s="11" t="s">
        <v>89</v>
      </c>
      <c r="U116" s="11" t="s">
        <v>89</v>
      </c>
      <c r="V116" s="11" t="s">
        <v>89</v>
      </c>
      <c r="W116" s="11" t="s">
        <v>89</v>
      </c>
      <c r="X116" s="11" t="s">
        <v>198</v>
      </c>
      <c r="Y116" s="11" t="s">
        <v>198</v>
      </c>
      <c r="Z116" s="11" t="s">
        <v>90</v>
      </c>
      <c r="AA116" s="11" t="s">
        <v>90</v>
      </c>
      <c r="AB116" s="11" t="s">
        <v>90</v>
      </c>
      <c r="AC116" s="11"/>
      <c r="AD116" s="20" t="s">
        <v>225</v>
      </c>
      <c r="AE116" s="20"/>
    </row>
    <row r="117" customFormat="false" ht="12.75" hidden="false" customHeight="false" outlineLevel="0" collapsed="false">
      <c r="A117" s="11" t="s">
        <v>257</v>
      </c>
      <c r="B117" s="11" t="s">
        <v>258</v>
      </c>
      <c r="C117" s="11" t="n">
        <v>161162</v>
      </c>
      <c r="D117" s="11" t="n">
        <v>474672</v>
      </c>
      <c r="E117" s="29" t="n">
        <v>161161.4</v>
      </c>
      <c r="F117" s="29" t="n">
        <v>474675.5</v>
      </c>
      <c r="G117" s="23" t="n">
        <v>45223.4007638889</v>
      </c>
      <c r="H117" s="11" t="n">
        <v>3.1</v>
      </c>
      <c r="I117" s="11" t="n">
        <v>0.5</v>
      </c>
      <c r="J117" s="11" t="n">
        <v>0</v>
      </c>
      <c r="K117" s="10" t="n">
        <v>0</v>
      </c>
      <c r="L117" s="11" t="n">
        <v>0</v>
      </c>
      <c r="M117" s="11" t="n">
        <v>1</v>
      </c>
      <c r="N117" s="11" t="s">
        <v>103</v>
      </c>
      <c r="O117" s="11" t="s">
        <v>103</v>
      </c>
      <c r="P117" s="11" t="s">
        <v>259</v>
      </c>
      <c r="Q117" s="11" t="s">
        <v>259</v>
      </c>
      <c r="R117" s="11" t="s">
        <v>259</v>
      </c>
      <c r="S117" s="11" t="s">
        <v>89</v>
      </c>
      <c r="T117" s="11" t="s">
        <v>89</v>
      </c>
      <c r="U117" s="11" t="s">
        <v>160</v>
      </c>
      <c r="V117" s="11" t="s">
        <v>104</v>
      </c>
      <c r="W117" s="11" t="s">
        <v>104</v>
      </c>
      <c r="X117" s="11" t="s">
        <v>90</v>
      </c>
      <c r="Y117" s="11" t="s">
        <v>90</v>
      </c>
      <c r="Z117" s="11" t="s">
        <v>90</v>
      </c>
      <c r="AA117" s="11" t="s">
        <v>90</v>
      </c>
      <c r="AB117" s="11" t="s">
        <v>90</v>
      </c>
      <c r="AC117" s="11"/>
      <c r="AD117" s="20" t="s">
        <v>190</v>
      </c>
      <c r="AE117" s="20"/>
    </row>
    <row r="118" customFormat="false" ht="12.75" hidden="false" customHeight="false" outlineLevel="0" collapsed="false">
      <c r="A118" s="11" t="s">
        <v>257</v>
      </c>
      <c r="B118" s="11" t="s">
        <v>260</v>
      </c>
      <c r="C118" s="11" t="n">
        <v>162323</v>
      </c>
      <c r="D118" s="11" t="n">
        <v>475539</v>
      </c>
      <c r="E118" s="29" t="n">
        <v>162326.9</v>
      </c>
      <c r="F118" s="29" t="n">
        <v>475541.4</v>
      </c>
      <c r="G118" s="23" t="n">
        <v>45223.4130208333</v>
      </c>
      <c r="H118" s="11" t="n">
        <v>1.2</v>
      </c>
      <c r="I118" s="11" t="n">
        <v>0.1</v>
      </c>
      <c r="J118" s="11" t="n">
        <v>0</v>
      </c>
      <c r="K118" s="11" t="n">
        <v>0</v>
      </c>
      <c r="L118" s="11" t="n">
        <v>0</v>
      </c>
      <c r="M118" s="11" t="n">
        <v>1</v>
      </c>
      <c r="N118" s="11" t="s">
        <v>108</v>
      </c>
      <c r="O118" s="11" t="s">
        <v>108</v>
      </c>
      <c r="P118" s="11" t="s">
        <v>108</v>
      </c>
      <c r="Q118" s="11" t="s">
        <v>108</v>
      </c>
      <c r="R118" s="11" t="s">
        <v>108</v>
      </c>
      <c r="S118" s="11" t="s">
        <v>104</v>
      </c>
      <c r="T118" s="11" t="s">
        <v>104</v>
      </c>
      <c r="U118" s="11" t="s">
        <v>104</v>
      </c>
      <c r="V118" s="11" t="s">
        <v>104</v>
      </c>
      <c r="W118" s="11" t="s">
        <v>104</v>
      </c>
      <c r="X118" s="11" t="s">
        <v>90</v>
      </c>
      <c r="Y118" s="11" t="s">
        <v>90</v>
      </c>
      <c r="Z118" s="11" t="s">
        <v>90</v>
      </c>
      <c r="AA118" s="11" t="s">
        <v>90</v>
      </c>
      <c r="AB118" s="11" t="s">
        <v>90</v>
      </c>
      <c r="AC118" s="11"/>
      <c r="AD118" s="20" t="s">
        <v>190</v>
      </c>
      <c r="AE118" s="20"/>
    </row>
    <row r="119" customFormat="false" ht="12.75" hidden="false" customHeight="false" outlineLevel="0" collapsed="false">
      <c r="A119" s="11" t="s">
        <v>257</v>
      </c>
      <c r="B119" s="11" t="s">
        <v>261</v>
      </c>
      <c r="C119" s="11" t="n">
        <v>164124</v>
      </c>
      <c r="D119" s="11" t="n">
        <v>475239</v>
      </c>
      <c r="E119" s="29" t="n">
        <v>164263.6</v>
      </c>
      <c r="F119" s="29" t="n">
        <v>475506.1</v>
      </c>
      <c r="G119" s="23" t="n">
        <v>45223.388599537</v>
      </c>
      <c r="H119" s="11" t="n">
        <v>1.2</v>
      </c>
      <c r="I119" s="11" t="n">
        <v>2.6</v>
      </c>
      <c r="J119" s="11" t="n">
        <v>0.1</v>
      </c>
      <c r="K119" s="11" t="n">
        <v>0</v>
      </c>
      <c r="L119" s="11" t="n">
        <v>0</v>
      </c>
      <c r="M119" s="11" t="n">
        <v>0</v>
      </c>
      <c r="N119" s="11" t="s">
        <v>108</v>
      </c>
      <c r="O119" s="11" t="s">
        <v>108</v>
      </c>
      <c r="P119" s="11" t="s">
        <v>108</v>
      </c>
      <c r="Q119" s="11" t="s">
        <v>108</v>
      </c>
      <c r="R119" s="11" t="s">
        <v>108</v>
      </c>
      <c r="S119" s="11" t="s">
        <v>104</v>
      </c>
      <c r="T119" s="11" t="s">
        <v>104</v>
      </c>
      <c r="U119" s="11" t="s">
        <v>104</v>
      </c>
      <c r="V119" s="11" t="s">
        <v>104</v>
      </c>
      <c r="W119" s="11" t="s">
        <v>104</v>
      </c>
      <c r="X119" s="11" t="s">
        <v>90</v>
      </c>
      <c r="Y119" s="11" t="s">
        <v>179</v>
      </c>
      <c r="Z119" s="11" t="s">
        <v>136</v>
      </c>
      <c r="AA119" s="11" t="s">
        <v>90</v>
      </c>
      <c r="AB119" s="11" t="s">
        <v>198</v>
      </c>
      <c r="AC119" s="11" t="s">
        <v>95</v>
      </c>
      <c r="AD119" s="20" t="s">
        <v>190</v>
      </c>
      <c r="AE119" s="20" t="s">
        <v>262</v>
      </c>
    </row>
    <row r="120" customFormat="false" ht="12.75" hidden="false" customHeight="false" outlineLevel="0" collapsed="false">
      <c r="A120" s="11" t="s">
        <v>257</v>
      </c>
      <c r="B120" s="11" t="s">
        <v>263</v>
      </c>
      <c r="C120" s="11" t="n">
        <v>164804</v>
      </c>
      <c r="D120" s="11" t="n">
        <v>476778</v>
      </c>
      <c r="E120" s="29" t="n">
        <v>164809.4</v>
      </c>
      <c r="F120" s="29" t="n">
        <v>476777.3</v>
      </c>
      <c r="G120" s="23" t="n">
        <v>45223.4226851852</v>
      </c>
      <c r="H120" s="11" t="n">
        <v>0.6</v>
      </c>
      <c r="I120" s="11" t="n">
        <v>0</v>
      </c>
      <c r="J120" s="11" t="n">
        <v>0.6</v>
      </c>
      <c r="K120" s="11" t="n">
        <v>0</v>
      </c>
      <c r="L120" s="11" t="n">
        <v>0</v>
      </c>
      <c r="M120" s="11" t="n">
        <v>6</v>
      </c>
      <c r="N120" s="11" t="s">
        <v>108</v>
      </c>
      <c r="O120" s="11" t="s">
        <v>108</v>
      </c>
      <c r="P120" s="11" t="s">
        <v>108</v>
      </c>
      <c r="Q120" s="11" t="s">
        <v>108</v>
      </c>
      <c r="R120" s="11" t="s">
        <v>108</v>
      </c>
      <c r="S120" s="11" t="s">
        <v>104</v>
      </c>
      <c r="T120" s="11" t="s">
        <v>104</v>
      </c>
      <c r="U120" s="11" t="s">
        <v>104</v>
      </c>
      <c r="V120" s="11" t="s">
        <v>104</v>
      </c>
      <c r="W120" s="11" t="s">
        <v>104</v>
      </c>
      <c r="X120" s="11" t="s">
        <v>90</v>
      </c>
      <c r="Y120" s="11" t="s">
        <v>98</v>
      </c>
      <c r="Z120" s="11" t="s">
        <v>90</v>
      </c>
      <c r="AA120" s="11" t="s">
        <v>90</v>
      </c>
      <c r="AB120" s="11" t="s">
        <v>90</v>
      </c>
      <c r="AC120" s="11"/>
      <c r="AD120" s="20" t="s">
        <v>190</v>
      </c>
      <c r="AE120" s="20"/>
    </row>
    <row r="121" customFormat="false" ht="12.75" hidden="false" customHeight="false" outlineLevel="0" collapsed="false">
      <c r="A121" s="11" t="s">
        <v>257</v>
      </c>
      <c r="B121" s="11" t="s">
        <v>264</v>
      </c>
      <c r="C121" s="11" t="n">
        <v>165703</v>
      </c>
      <c r="D121" s="11" t="n">
        <v>477727</v>
      </c>
      <c r="E121" s="29" t="n">
        <v>165699.9</v>
      </c>
      <c r="F121" s="29" t="n">
        <v>477724.3</v>
      </c>
      <c r="G121" s="23" t="n">
        <v>45223.371712963</v>
      </c>
      <c r="H121" s="11" t="n">
        <v>0.6</v>
      </c>
      <c r="I121" s="11" t="n">
        <v>1</v>
      </c>
      <c r="J121" s="11" t="n">
        <v>0</v>
      </c>
      <c r="K121" s="11" t="n">
        <v>0</v>
      </c>
      <c r="L121" s="11" t="n">
        <v>0</v>
      </c>
      <c r="M121" s="11" t="n">
        <v>1</v>
      </c>
      <c r="N121" s="11" t="s">
        <v>103</v>
      </c>
      <c r="O121" s="11" t="s">
        <v>103</v>
      </c>
      <c r="P121" s="11" t="s">
        <v>103</v>
      </c>
      <c r="Q121" s="11" t="s">
        <v>103</v>
      </c>
      <c r="R121" s="11" t="s">
        <v>103</v>
      </c>
      <c r="S121" s="27" t="s">
        <v>97</v>
      </c>
      <c r="T121" s="11" t="s">
        <v>97</v>
      </c>
      <c r="U121" s="11" t="s">
        <v>97</v>
      </c>
      <c r="V121" s="11" t="s">
        <v>97</v>
      </c>
      <c r="W121" s="11" t="s">
        <v>97</v>
      </c>
      <c r="X121" s="11" t="s">
        <v>90</v>
      </c>
      <c r="Y121" s="11" t="s">
        <v>113</v>
      </c>
      <c r="Z121" s="11" t="s">
        <v>91</v>
      </c>
      <c r="AA121" s="11" t="s">
        <v>90</v>
      </c>
      <c r="AB121" s="11" t="s">
        <v>90</v>
      </c>
      <c r="AC121" s="11" t="s">
        <v>95</v>
      </c>
      <c r="AD121" s="20" t="s">
        <v>190</v>
      </c>
      <c r="AE121" s="20"/>
    </row>
    <row r="122" customFormat="false" ht="12.75" hidden="false" customHeight="false" outlineLevel="0" collapsed="false">
      <c r="A122" s="11" t="s">
        <v>257</v>
      </c>
      <c r="B122" s="11" t="s">
        <v>265</v>
      </c>
      <c r="C122" s="11" t="n">
        <v>165036</v>
      </c>
      <c r="D122" s="11" t="n">
        <v>476107</v>
      </c>
      <c r="E122" s="29" t="n">
        <v>165033.1</v>
      </c>
      <c r="F122" s="29" t="n">
        <v>476103.9</v>
      </c>
      <c r="G122" s="23" t="n">
        <v>45223.3807060185</v>
      </c>
      <c r="H122" s="11" t="n">
        <v>2</v>
      </c>
      <c r="I122" s="11" t="n">
        <v>0.8</v>
      </c>
      <c r="J122" s="11" t="n">
        <v>0.05</v>
      </c>
      <c r="K122" s="11" t="n">
        <v>0</v>
      </c>
      <c r="L122" s="11" t="n">
        <v>0</v>
      </c>
      <c r="M122" s="11" t="n">
        <v>1</v>
      </c>
      <c r="N122" s="11" t="s">
        <v>94</v>
      </c>
      <c r="O122" s="11" t="s">
        <v>103</v>
      </c>
      <c r="P122" s="11" t="s">
        <v>94</v>
      </c>
      <c r="Q122" s="11" t="s">
        <v>94</v>
      </c>
      <c r="R122" s="11" t="s">
        <v>94</v>
      </c>
      <c r="S122" s="11" t="s">
        <v>97</v>
      </c>
      <c r="T122" s="11" t="s">
        <v>104</v>
      </c>
      <c r="U122" s="11" t="s">
        <v>97</v>
      </c>
      <c r="V122" s="11" t="s">
        <v>97</v>
      </c>
      <c r="W122" s="11" t="s">
        <v>97</v>
      </c>
      <c r="X122" s="11" t="s">
        <v>90</v>
      </c>
      <c r="Y122" s="11" t="s">
        <v>198</v>
      </c>
      <c r="Z122" s="11" t="s">
        <v>90</v>
      </c>
      <c r="AA122" s="11" t="s">
        <v>90</v>
      </c>
      <c r="AB122" s="11" t="s">
        <v>90</v>
      </c>
      <c r="AC122" s="11"/>
      <c r="AD122" s="20" t="s">
        <v>190</v>
      </c>
      <c r="AE122" s="20"/>
    </row>
    <row r="123" customFormat="false" ht="12.75" hidden="false" customHeight="false" outlineLevel="0" collapsed="false">
      <c r="A123" s="11" t="s">
        <v>257</v>
      </c>
      <c r="B123" s="11" t="s">
        <v>266</v>
      </c>
      <c r="C123" s="11" t="n">
        <v>166249</v>
      </c>
      <c r="D123" s="11" t="n">
        <v>479529</v>
      </c>
      <c r="E123" s="29" t="n">
        <v>166246.6</v>
      </c>
      <c r="F123" s="29" t="n">
        <v>479526.3</v>
      </c>
      <c r="G123" s="23" t="n">
        <v>45223.3594675926</v>
      </c>
      <c r="H123" s="11" t="n">
        <v>3.1</v>
      </c>
      <c r="I123" s="11" t="n">
        <v>2.5</v>
      </c>
      <c r="J123" s="11" t="n">
        <v>0</v>
      </c>
      <c r="K123" s="11" t="n">
        <v>0</v>
      </c>
      <c r="L123" s="11" t="n">
        <v>1</v>
      </c>
      <c r="M123" s="11" t="n">
        <v>0</v>
      </c>
      <c r="N123" s="11" t="s">
        <v>100</v>
      </c>
      <c r="O123" s="11" t="s">
        <v>100</v>
      </c>
      <c r="P123" s="11" t="s">
        <v>100</v>
      </c>
      <c r="Q123" s="11" t="s">
        <v>94</v>
      </c>
      <c r="R123" s="11" t="s">
        <v>94</v>
      </c>
      <c r="S123" s="11" t="s">
        <v>89</v>
      </c>
      <c r="T123" s="11" t="s">
        <v>89</v>
      </c>
      <c r="U123" s="11" t="s">
        <v>89</v>
      </c>
      <c r="V123" s="11" t="s">
        <v>97</v>
      </c>
      <c r="W123" s="11" t="s">
        <v>97</v>
      </c>
      <c r="X123" s="11" t="s">
        <v>90</v>
      </c>
      <c r="Y123" s="11" t="s">
        <v>90</v>
      </c>
      <c r="Z123" s="11" t="s">
        <v>90</v>
      </c>
      <c r="AA123" s="11" t="s">
        <v>136</v>
      </c>
      <c r="AB123" s="11" t="s">
        <v>90</v>
      </c>
      <c r="AC123" s="11" t="s">
        <v>95</v>
      </c>
      <c r="AD123" s="20" t="s">
        <v>190</v>
      </c>
      <c r="AE123" s="20"/>
    </row>
    <row r="124" customFormat="false" ht="12.75" hidden="false" customHeight="false" outlineLevel="0" collapsed="false">
      <c r="A124" s="11" t="s">
        <v>257</v>
      </c>
      <c r="B124" s="11" t="s">
        <v>267</v>
      </c>
      <c r="C124" s="11" t="n">
        <v>166126</v>
      </c>
      <c r="D124" s="11" t="n">
        <v>481009</v>
      </c>
      <c r="E124" s="29" t="n">
        <v>166126.8</v>
      </c>
      <c r="F124" s="29" t="n">
        <v>481010.6</v>
      </c>
      <c r="G124" s="23" t="n">
        <v>45223.349375</v>
      </c>
      <c r="H124" s="11" t="n">
        <v>0.7</v>
      </c>
      <c r="I124" s="11" t="n">
        <v>0.5</v>
      </c>
      <c r="J124" s="11" t="n">
        <v>0.1</v>
      </c>
      <c r="K124" s="11" t="n">
        <v>0</v>
      </c>
      <c r="L124" s="11" t="n">
        <v>0</v>
      </c>
      <c r="M124" s="11" t="n">
        <v>0</v>
      </c>
      <c r="N124" s="11" t="s">
        <v>108</v>
      </c>
      <c r="O124" s="11" t="s">
        <v>108</v>
      </c>
      <c r="P124" s="11" t="s">
        <v>108</v>
      </c>
      <c r="Q124" s="11" t="s">
        <v>108</v>
      </c>
      <c r="R124" s="11" t="s">
        <v>103</v>
      </c>
      <c r="S124" s="11" t="s">
        <v>104</v>
      </c>
      <c r="T124" s="11" t="s">
        <v>104</v>
      </c>
      <c r="U124" s="11" t="s">
        <v>104</v>
      </c>
      <c r="V124" s="11" t="s">
        <v>104</v>
      </c>
      <c r="W124" s="11" t="s">
        <v>97</v>
      </c>
      <c r="X124" s="11" t="s">
        <v>198</v>
      </c>
      <c r="Y124" s="11" t="s">
        <v>90</v>
      </c>
      <c r="Z124" s="11" t="s">
        <v>198</v>
      </c>
      <c r="AA124" s="11" t="s">
        <v>198</v>
      </c>
      <c r="AB124" s="11" t="s">
        <v>198</v>
      </c>
      <c r="AC124" s="11"/>
      <c r="AD124" s="20" t="s">
        <v>190</v>
      </c>
      <c r="AE124" s="20"/>
    </row>
    <row r="125" customFormat="false" ht="12.75" hidden="false" customHeight="false" outlineLevel="0" collapsed="false">
      <c r="A125" s="11" t="s">
        <v>257</v>
      </c>
      <c r="B125" s="11" t="s">
        <v>268</v>
      </c>
      <c r="C125" s="11" t="n">
        <v>167497</v>
      </c>
      <c r="D125" s="11" t="n">
        <v>481643</v>
      </c>
      <c r="E125" s="29" t="n">
        <v>167463.6</v>
      </c>
      <c r="F125" s="29" t="n">
        <v>481640.5</v>
      </c>
      <c r="G125" s="23" t="n">
        <v>45223.4405092593</v>
      </c>
      <c r="H125" s="11" t="n">
        <v>0.6</v>
      </c>
      <c r="I125" s="11" t="n">
        <v>5.5</v>
      </c>
      <c r="J125" s="11" t="n">
        <v>0.1</v>
      </c>
      <c r="K125" s="11" t="n">
        <v>0</v>
      </c>
      <c r="L125" s="11" t="n">
        <v>0</v>
      </c>
      <c r="M125" s="11" t="n">
        <v>15</v>
      </c>
      <c r="N125" s="11" t="s">
        <v>108</v>
      </c>
      <c r="O125" s="11" t="s">
        <v>108</v>
      </c>
      <c r="P125" s="11" t="s">
        <v>108</v>
      </c>
      <c r="Q125" s="11" t="s">
        <v>108</v>
      </c>
      <c r="R125" s="11" t="s">
        <v>108</v>
      </c>
      <c r="S125" s="11" t="s">
        <v>104</v>
      </c>
      <c r="T125" s="11" t="s">
        <v>104</v>
      </c>
      <c r="U125" s="11" t="s">
        <v>104</v>
      </c>
      <c r="V125" s="11" t="s">
        <v>104</v>
      </c>
      <c r="W125" s="11" t="s">
        <v>104</v>
      </c>
      <c r="X125" s="11" t="s">
        <v>98</v>
      </c>
      <c r="Y125" s="11" t="s">
        <v>98</v>
      </c>
      <c r="Z125" s="11" t="s">
        <v>98</v>
      </c>
      <c r="AA125" s="11" t="s">
        <v>98</v>
      </c>
      <c r="AB125" s="11" t="s">
        <v>98</v>
      </c>
      <c r="AC125" s="11"/>
      <c r="AD125" s="20" t="s">
        <v>190</v>
      </c>
      <c r="AE125" s="20" t="s">
        <v>182</v>
      </c>
    </row>
    <row r="126" customFormat="false" ht="12.75" hidden="false" customHeight="false" outlineLevel="0" collapsed="false">
      <c r="A126" s="11" t="s">
        <v>257</v>
      </c>
      <c r="B126" s="11" t="s">
        <v>269</v>
      </c>
      <c r="C126" s="11" t="n">
        <v>166328</v>
      </c>
      <c r="D126" s="11" t="n">
        <v>482083</v>
      </c>
      <c r="E126" s="29" t="n">
        <v>166331.3</v>
      </c>
      <c r="F126" s="29" t="n">
        <v>482081.3</v>
      </c>
      <c r="G126" s="23" t="n">
        <v>45223.3394444444</v>
      </c>
      <c r="H126" s="11" t="n">
        <v>0.9</v>
      </c>
      <c r="I126" s="11" t="n">
        <v>1.8</v>
      </c>
      <c r="J126" s="11" t="n">
        <v>0.1</v>
      </c>
      <c r="K126" s="11" t="n">
        <v>0</v>
      </c>
      <c r="L126" s="11" t="n">
        <v>0</v>
      </c>
      <c r="M126" s="11" t="n">
        <v>0</v>
      </c>
      <c r="N126" s="11" t="s">
        <v>108</v>
      </c>
      <c r="O126" s="11" t="s">
        <v>108</v>
      </c>
      <c r="P126" s="11" t="s">
        <v>108</v>
      </c>
      <c r="Q126" s="11" t="s">
        <v>108</v>
      </c>
      <c r="R126" s="11" t="s">
        <v>108</v>
      </c>
      <c r="S126" s="11" t="s">
        <v>104</v>
      </c>
      <c r="T126" s="11" t="s">
        <v>104</v>
      </c>
      <c r="U126" s="11" t="s">
        <v>104</v>
      </c>
      <c r="V126" s="11" t="s">
        <v>104</v>
      </c>
      <c r="W126" s="11" t="s">
        <v>104</v>
      </c>
      <c r="X126" s="11" t="s">
        <v>198</v>
      </c>
      <c r="Y126" s="11" t="s">
        <v>198</v>
      </c>
      <c r="Z126" s="11" t="s">
        <v>198</v>
      </c>
      <c r="AA126" s="11" t="s">
        <v>198</v>
      </c>
      <c r="AB126" s="11" t="s">
        <v>198</v>
      </c>
      <c r="AC126" s="11" t="s">
        <v>95</v>
      </c>
      <c r="AD126" s="20" t="s">
        <v>190</v>
      </c>
      <c r="AE126" s="1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AE2"/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5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Q16" activeCellId="0" sqref="Q16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3" min="3" style="1" width="10.29"/>
    <col collapsed="false" customWidth="true" hidden="false" outlineLevel="0" max="5" min="5" style="1" width="10.29"/>
    <col collapsed="false" customWidth="true" hidden="false" outlineLevel="0" max="7" min="7" style="1" width="10.29"/>
    <col collapsed="false" customWidth="true" hidden="false" outlineLevel="0" max="9" min="9" style="1" width="10.29"/>
    <col collapsed="false" customWidth="true" hidden="false" outlineLevel="0" max="11" min="11" style="1" width="10.29"/>
    <col collapsed="false" customWidth="true" hidden="false" outlineLevel="0" max="13" min="13" style="1" width="10.29"/>
    <col collapsed="false" customWidth="true" hidden="false" outlineLevel="0" max="15" min="15" style="1" width="10.29"/>
    <col collapsed="false" customWidth="true" hidden="false" outlineLevel="0" max="17" min="17" style="1" width="10.29"/>
  </cols>
  <sheetData>
    <row r="1" customFormat="false" ht="12.75" hidden="false" customHeight="false" outlineLevel="0" collapsed="false">
      <c r="A1" s="1" t="s">
        <v>270</v>
      </c>
    </row>
    <row r="3" customFormat="false" ht="12.75" hidden="false" customHeight="true" outlineLevel="0" collapsed="false">
      <c r="A3" s="32" t="s">
        <v>271</v>
      </c>
      <c r="B3" s="33" t="s">
        <v>86</v>
      </c>
      <c r="C3" s="33"/>
      <c r="D3" s="33" t="s">
        <v>132</v>
      </c>
      <c r="E3" s="33"/>
      <c r="F3" s="33" t="s">
        <v>161</v>
      </c>
      <c r="G3" s="33"/>
      <c r="H3" s="33" t="s">
        <v>175</v>
      </c>
      <c r="I3" s="33"/>
      <c r="J3" s="33" t="s">
        <v>188</v>
      </c>
      <c r="K3" s="33"/>
      <c r="L3" s="33" t="s">
        <v>223</v>
      </c>
      <c r="M3" s="33"/>
      <c r="N3" s="33" t="s">
        <v>257</v>
      </c>
      <c r="O3" s="33"/>
      <c r="P3" s="34" t="s">
        <v>272</v>
      </c>
    </row>
    <row r="4" customFormat="false" ht="12.75" hidden="false" customHeight="false" outlineLevel="0" collapsed="false">
      <c r="A4" s="32"/>
      <c r="B4" s="35" t="s">
        <v>273</v>
      </c>
      <c r="C4" s="36" t="s">
        <v>274</v>
      </c>
      <c r="D4" s="35" t="s">
        <v>273</v>
      </c>
      <c r="E4" s="36" t="s">
        <v>274</v>
      </c>
      <c r="F4" s="35" t="s">
        <v>273</v>
      </c>
      <c r="G4" s="36" t="s">
        <v>274</v>
      </c>
      <c r="H4" s="35" t="s">
        <v>273</v>
      </c>
      <c r="I4" s="37" t="s">
        <v>274</v>
      </c>
      <c r="J4" s="35" t="s">
        <v>273</v>
      </c>
      <c r="K4" s="37" t="s">
        <v>274</v>
      </c>
      <c r="L4" s="35" t="s">
        <v>273</v>
      </c>
      <c r="M4" s="37" t="s">
        <v>274</v>
      </c>
      <c r="N4" s="35" t="s">
        <v>273</v>
      </c>
      <c r="O4" s="37" t="s">
        <v>274</v>
      </c>
      <c r="P4" s="38"/>
    </row>
    <row r="5" customFormat="false" ht="12.75" hidden="false" customHeight="false" outlineLevel="0" collapsed="false">
      <c r="A5" s="39" t="n">
        <v>2</v>
      </c>
      <c r="B5" s="40" t="n">
        <v>1</v>
      </c>
      <c r="C5" s="41" t="n">
        <v>0</v>
      </c>
      <c r="D5" s="40" t="n">
        <v>0</v>
      </c>
      <c r="E5" s="41" t="n">
        <v>0</v>
      </c>
      <c r="F5" s="42" t="n">
        <v>0</v>
      </c>
      <c r="G5" s="41" t="n">
        <v>0</v>
      </c>
      <c r="H5" s="40" t="n">
        <v>0</v>
      </c>
      <c r="I5" s="43" t="n">
        <v>0</v>
      </c>
      <c r="J5" s="42" t="n">
        <v>0</v>
      </c>
      <c r="K5" s="44" t="n">
        <v>4</v>
      </c>
      <c r="L5" s="42" t="n">
        <v>0</v>
      </c>
      <c r="M5" s="44" t="n">
        <v>58</v>
      </c>
      <c r="N5" s="42" t="n">
        <v>0</v>
      </c>
      <c r="O5" s="44" t="n">
        <v>0</v>
      </c>
      <c r="P5" s="39" t="n">
        <f aca="false">SUM(B5:O5)</f>
        <v>63</v>
      </c>
    </row>
    <row r="6" customFormat="false" ht="12.75" hidden="false" customHeight="false" outlineLevel="0" collapsed="false">
      <c r="A6" s="39" t="n">
        <v>3</v>
      </c>
      <c r="B6" s="40" t="n">
        <v>4</v>
      </c>
      <c r="C6" s="41" t="n">
        <v>0</v>
      </c>
      <c r="D6" s="40" t="n">
        <v>0</v>
      </c>
      <c r="E6" s="41" t="n">
        <v>0</v>
      </c>
      <c r="F6" s="40" t="n">
        <v>0</v>
      </c>
      <c r="G6" s="41" t="n">
        <v>10</v>
      </c>
      <c r="H6" s="40" t="n">
        <v>0</v>
      </c>
      <c r="I6" s="1" t="n">
        <v>1</v>
      </c>
      <c r="J6" s="40" t="n">
        <v>1</v>
      </c>
      <c r="K6" s="1" t="n">
        <v>11</v>
      </c>
      <c r="L6" s="40" t="n">
        <v>0</v>
      </c>
      <c r="M6" s="1" t="n">
        <v>253</v>
      </c>
      <c r="N6" s="40" t="n">
        <v>0</v>
      </c>
      <c r="O6" s="1" t="n">
        <v>9</v>
      </c>
      <c r="P6" s="39" t="n">
        <f aca="false">SUM(B6:O6)</f>
        <v>289</v>
      </c>
    </row>
    <row r="7" customFormat="false" ht="12.75" hidden="false" customHeight="false" outlineLevel="0" collapsed="false">
      <c r="A7" s="39" t="n">
        <v>4</v>
      </c>
      <c r="B7" s="40" t="n">
        <v>12</v>
      </c>
      <c r="C7" s="41" t="n">
        <v>1</v>
      </c>
      <c r="D7" s="40" t="n">
        <v>0</v>
      </c>
      <c r="E7" s="41" t="n">
        <v>1</v>
      </c>
      <c r="F7" s="40" t="n">
        <v>0</v>
      </c>
      <c r="G7" s="41" t="n">
        <v>15</v>
      </c>
      <c r="H7" s="40" t="n">
        <v>0</v>
      </c>
      <c r="I7" s="1" t="n">
        <v>0</v>
      </c>
      <c r="J7" s="40" t="n">
        <v>3</v>
      </c>
      <c r="K7" s="1" t="n">
        <v>19</v>
      </c>
      <c r="L7" s="40" t="n">
        <v>1</v>
      </c>
      <c r="M7" s="1" t="n">
        <v>363</v>
      </c>
      <c r="N7" s="40" t="n">
        <v>0</v>
      </c>
      <c r="O7" s="1" t="n">
        <v>20</v>
      </c>
      <c r="P7" s="39" t="n">
        <f aca="false">SUM(B7:O7)</f>
        <v>435</v>
      </c>
    </row>
    <row r="8" customFormat="false" ht="12.75" hidden="false" customHeight="false" outlineLevel="0" collapsed="false">
      <c r="A8" s="39" t="n">
        <v>5</v>
      </c>
      <c r="B8" s="40" t="n">
        <v>30</v>
      </c>
      <c r="C8" s="41" t="n">
        <v>5</v>
      </c>
      <c r="D8" s="40" t="n">
        <v>0</v>
      </c>
      <c r="E8" s="41" t="n">
        <v>4</v>
      </c>
      <c r="F8" s="40" t="n">
        <v>0</v>
      </c>
      <c r="G8" s="41" t="n">
        <v>22</v>
      </c>
      <c r="H8" s="40" t="n">
        <v>0</v>
      </c>
      <c r="I8" s="1" t="n">
        <v>1</v>
      </c>
      <c r="J8" s="40" t="n">
        <v>7</v>
      </c>
      <c r="K8" s="1" t="n">
        <v>37</v>
      </c>
      <c r="L8" s="40" t="n">
        <v>2</v>
      </c>
      <c r="M8" s="1" t="n">
        <v>324</v>
      </c>
      <c r="N8" s="40" t="n">
        <v>1</v>
      </c>
      <c r="O8" s="1" t="n">
        <v>32</v>
      </c>
      <c r="P8" s="39" t="n">
        <f aca="false">SUM(B8:O8)</f>
        <v>465</v>
      </c>
    </row>
    <row r="9" customFormat="false" ht="12.75" hidden="false" customHeight="false" outlineLevel="0" collapsed="false">
      <c r="A9" s="39" t="n">
        <v>6</v>
      </c>
      <c r="B9" s="40" t="n">
        <v>40</v>
      </c>
      <c r="C9" s="41" t="n">
        <v>8</v>
      </c>
      <c r="D9" s="40" t="n">
        <v>0</v>
      </c>
      <c r="E9" s="41" t="n">
        <v>3</v>
      </c>
      <c r="F9" s="40" t="n">
        <v>0</v>
      </c>
      <c r="G9" s="41" t="n">
        <v>27</v>
      </c>
      <c r="H9" s="40" t="n">
        <v>0</v>
      </c>
      <c r="I9" s="1" t="n">
        <v>0</v>
      </c>
      <c r="J9" s="40" t="n">
        <v>14</v>
      </c>
      <c r="K9" s="1" t="n">
        <v>27</v>
      </c>
      <c r="L9" s="40" t="n">
        <v>2</v>
      </c>
      <c r="M9" s="1" t="n">
        <v>108</v>
      </c>
      <c r="N9" s="40" t="n">
        <v>1</v>
      </c>
      <c r="O9" s="1" t="n">
        <v>33</v>
      </c>
      <c r="P9" s="39" t="n">
        <f aca="false">SUM(B9:O9)</f>
        <v>263</v>
      </c>
    </row>
    <row r="10" customFormat="false" ht="12.75" hidden="false" customHeight="false" outlineLevel="0" collapsed="false">
      <c r="A10" s="39" t="n">
        <v>7</v>
      </c>
      <c r="B10" s="40" t="n">
        <v>48</v>
      </c>
      <c r="C10" s="41" t="n">
        <v>2</v>
      </c>
      <c r="D10" s="40" t="n">
        <v>4</v>
      </c>
      <c r="E10" s="41" t="n">
        <v>11</v>
      </c>
      <c r="F10" s="40" t="n">
        <v>2</v>
      </c>
      <c r="G10" s="41" t="n">
        <v>29</v>
      </c>
      <c r="H10" s="40" t="n">
        <v>0</v>
      </c>
      <c r="I10" s="1" t="n">
        <v>0</v>
      </c>
      <c r="J10" s="40" t="n">
        <v>6</v>
      </c>
      <c r="K10" s="1" t="n">
        <v>14</v>
      </c>
      <c r="L10" s="40" t="n">
        <v>1</v>
      </c>
      <c r="M10" s="1" t="n">
        <v>65</v>
      </c>
      <c r="N10" s="40" t="n">
        <v>1</v>
      </c>
      <c r="O10" s="1" t="n">
        <v>37</v>
      </c>
      <c r="P10" s="39" t="n">
        <f aca="false">SUM(B10:O10)</f>
        <v>220</v>
      </c>
    </row>
    <row r="11" customFormat="false" ht="12.75" hidden="false" customHeight="false" outlineLevel="0" collapsed="false">
      <c r="A11" s="39" t="n">
        <v>8</v>
      </c>
      <c r="B11" s="40" t="n">
        <v>50</v>
      </c>
      <c r="C11" s="41" t="n">
        <v>2</v>
      </c>
      <c r="D11" s="40" t="n">
        <v>6</v>
      </c>
      <c r="E11" s="41" t="n">
        <v>11</v>
      </c>
      <c r="F11" s="40" t="n">
        <v>1</v>
      </c>
      <c r="G11" s="41" t="n">
        <v>31</v>
      </c>
      <c r="H11" s="40" t="n">
        <v>0</v>
      </c>
      <c r="I11" s="1" t="n">
        <v>0</v>
      </c>
      <c r="J11" s="40" t="n">
        <v>4</v>
      </c>
      <c r="K11" s="1" t="n">
        <v>10</v>
      </c>
      <c r="L11" s="40" t="n">
        <v>3</v>
      </c>
      <c r="M11" s="1" t="n">
        <v>17</v>
      </c>
      <c r="N11" s="40" t="n">
        <v>1</v>
      </c>
      <c r="O11" s="1" t="n">
        <v>30</v>
      </c>
      <c r="P11" s="39" t="n">
        <f aca="false">SUM(B11:O11)</f>
        <v>166</v>
      </c>
    </row>
    <row r="12" customFormat="false" ht="12.75" hidden="false" customHeight="false" outlineLevel="0" collapsed="false">
      <c r="A12" s="39" t="n">
        <v>9</v>
      </c>
      <c r="B12" s="40" t="n">
        <v>41</v>
      </c>
      <c r="C12" s="41" t="n">
        <v>8</v>
      </c>
      <c r="D12" s="40" t="n">
        <v>14</v>
      </c>
      <c r="E12" s="41" t="n">
        <v>19</v>
      </c>
      <c r="F12" s="40" t="n">
        <v>1</v>
      </c>
      <c r="G12" s="41" t="n">
        <v>23</v>
      </c>
      <c r="H12" s="40" t="n">
        <v>0</v>
      </c>
      <c r="I12" s="1" t="n">
        <v>3</v>
      </c>
      <c r="J12" s="40" t="n">
        <v>3</v>
      </c>
      <c r="K12" s="1" t="n">
        <v>11</v>
      </c>
      <c r="L12" s="40" t="n">
        <v>0</v>
      </c>
      <c r="M12" s="1" t="n">
        <v>13</v>
      </c>
      <c r="N12" s="40" t="n">
        <v>0</v>
      </c>
      <c r="O12" s="1" t="n">
        <v>25</v>
      </c>
      <c r="P12" s="39" t="n">
        <f aca="false">SUM(B12:O12)</f>
        <v>161</v>
      </c>
    </row>
    <row r="13" customFormat="false" ht="12.75" hidden="false" customHeight="false" outlineLevel="0" collapsed="false">
      <c r="A13" s="39" t="n">
        <v>10</v>
      </c>
      <c r="B13" s="40" t="n">
        <v>53</v>
      </c>
      <c r="C13" s="41" t="n">
        <v>8</v>
      </c>
      <c r="D13" s="40" t="n">
        <v>20</v>
      </c>
      <c r="E13" s="41" t="n">
        <v>12</v>
      </c>
      <c r="F13" s="40" t="n">
        <v>0</v>
      </c>
      <c r="G13" s="41" t="n">
        <v>14</v>
      </c>
      <c r="H13" s="40" t="n">
        <v>2</v>
      </c>
      <c r="I13" s="1" t="n">
        <v>1</v>
      </c>
      <c r="J13" s="40" t="n">
        <v>1</v>
      </c>
      <c r="K13" s="1" t="n">
        <v>11</v>
      </c>
      <c r="L13" s="40" t="n">
        <v>0</v>
      </c>
      <c r="M13" s="1" t="n">
        <v>14</v>
      </c>
      <c r="N13" s="40" t="n">
        <v>1</v>
      </c>
      <c r="O13" s="1" t="n">
        <v>24</v>
      </c>
      <c r="P13" s="39" t="n">
        <f aca="false">SUM(B13:O13)</f>
        <v>161</v>
      </c>
    </row>
    <row r="14" customFormat="false" ht="12.75" hidden="false" customHeight="false" outlineLevel="0" collapsed="false">
      <c r="A14" s="39" t="n">
        <v>11</v>
      </c>
      <c r="B14" s="40" t="n">
        <v>38</v>
      </c>
      <c r="C14" s="41" t="n">
        <v>1</v>
      </c>
      <c r="D14" s="40" t="n">
        <v>20</v>
      </c>
      <c r="E14" s="41" t="n">
        <v>18</v>
      </c>
      <c r="F14" s="40" t="n">
        <v>1</v>
      </c>
      <c r="G14" s="41" t="n">
        <v>9</v>
      </c>
      <c r="H14" s="40" t="n">
        <v>0</v>
      </c>
      <c r="I14" s="1" t="n">
        <v>1</v>
      </c>
      <c r="J14" s="40" t="n">
        <v>0</v>
      </c>
      <c r="K14" s="1" t="n">
        <v>10</v>
      </c>
      <c r="L14" s="40" t="n">
        <v>0</v>
      </c>
      <c r="M14" s="1" t="n">
        <v>5</v>
      </c>
      <c r="N14" s="40" t="n">
        <v>0</v>
      </c>
      <c r="O14" s="1" t="n">
        <v>13</v>
      </c>
      <c r="P14" s="39" t="n">
        <f aca="false">SUM(B14:O14)</f>
        <v>116</v>
      </c>
    </row>
    <row r="15" customFormat="false" ht="12.75" hidden="false" customHeight="false" outlineLevel="0" collapsed="false">
      <c r="A15" s="39" t="n">
        <v>12</v>
      </c>
      <c r="B15" s="40" t="n">
        <v>39</v>
      </c>
      <c r="C15" s="41" t="n">
        <v>1</v>
      </c>
      <c r="D15" s="40" t="n">
        <v>26</v>
      </c>
      <c r="E15" s="41" t="n">
        <v>10</v>
      </c>
      <c r="F15" s="40" t="n">
        <v>4</v>
      </c>
      <c r="G15" s="41" t="n">
        <v>12</v>
      </c>
      <c r="H15" s="40" t="n">
        <v>0</v>
      </c>
      <c r="I15" s="1" t="n">
        <v>2</v>
      </c>
      <c r="J15" s="40" t="n">
        <v>2</v>
      </c>
      <c r="K15" s="1" t="n">
        <v>17</v>
      </c>
      <c r="L15" s="40" t="n">
        <v>1</v>
      </c>
      <c r="M15" s="1" t="n">
        <v>14</v>
      </c>
      <c r="N15" s="40" t="n">
        <v>0</v>
      </c>
      <c r="O15" s="1" t="n">
        <v>6</v>
      </c>
      <c r="P15" s="39" t="n">
        <f aca="false">SUM(B15:O15)</f>
        <v>134</v>
      </c>
    </row>
    <row r="16" customFormat="false" ht="12.75" hidden="false" customHeight="false" outlineLevel="0" collapsed="false">
      <c r="A16" s="39" t="n">
        <v>13</v>
      </c>
      <c r="B16" s="40" t="n">
        <v>35</v>
      </c>
      <c r="C16" s="41" t="n">
        <v>2</v>
      </c>
      <c r="D16" s="40" t="n">
        <v>40</v>
      </c>
      <c r="E16" s="41" t="n">
        <v>5</v>
      </c>
      <c r="F16" s="40" t="n">
        <v>14</v>
      </c>
      <c r="G16" s="41" t="n">
        <v>10</v>
      </c>
      <c r="H16" s="40" t="n">
        <v>0</v>
      </c>
      <c r="I16" s="1" t="n">
        <v>1</v>
      </c>
      <c r="J16" s="40" t="n">
        <v>1</v>
      </c>
      <c r="K16" s="1" t="n">
        <v>12</v>
      </c>
      <c r="L16" s="40" t="n">
        <v>1</v>
      </c>
      <c r="M16" s="1" t="n">
        <v>2</v>
      </c>
      <c r="N16" s="40" t="n">
        <v>0</v>
      </c>
      <c r="O16" s="1" t="n">
        <v>10</v>
      </c>
      <c r="P16" s="39" t="n">
        <f aca="false">SUM(B16:O16)</f>
        <v>133</v>
      </c>
    </row>
    <row r="17" customFormat="false" ht="12.75" hidden="false" customHeight="false" outlineLevel="0" collapsed="false">
      <c r="A17" s="39" t="n">
        <v>14</v>
      </c>
      <c r="B17" s="40" t="n">
        <v>25</v>
      </c>
      <c r="C17" s="41" t="n">
        <v>3</v>
      </c>
      <c r="D17" s="40" t="n">
        <v>50</v>
      </c>
      <c r="E17" s="41" t="n">
        <v>9</v>
      </c>
      <c r="F17" s="40" t="n">
        <v>28</v>
      </c>
      <c r="G17" s="41" t="n">
        <v>9</v>
      </c>
      <c r="H17" s="40" t="n">
        <v>0</v>
      </c>
      <c r="I17" s="1" t="n">
        <v>0</v>
      </c>
      <c r="J17" s="40" t="n">
        <v>2</v>
      </c>
      <c r="K17" s="1" t="n">
        <v>12</v>
      </c>
      <c r="L17" s="40" t="n">
        <v>0</v>
      </c>
      <c r="M17" s="1" t="n">
        <v>3</v>
      </c>
      <c r="N17" s="40" t="n">
        <v>0</v>
      </c>
      <c r="O17" s="1" t="n">
        <v>0</v>
      </c>
      <c r="P17" s="39" t="n">
        <f aca="false">SUM(B17:O17)</f>
        <v>141</v>
      </c>
    </row>
    <row r="18" customFormat="false" ht="12.75" hidden="false" customHeight="false" outlineLevel="0" collapsed="false">
      <c r="A18" s="39" t="n">
        <v>15</v>
      </c>
      <c r="B18" s="40" t="n">
        <v>16</v>
      </c>
      <c r="C18" s="41" t="n">
        <v>0</v>
      </c>
      <c r="D18" s="40" t="n">
        <v>41</v>
      </c>
      <c r="E18" s="41" t="n">
        <v>7</v>
      </c>
      <c r="F18" s="40" t="n">
        <v>36</v>
      </c>
      <c r="G18" s="41" t="n">
        <v>7</v>
      </c>
      <c r="H18" s="40" t="n">
        <v>0</v>
      </c>
      <c r="I18" s="1" t="n">
        <v>0</v>
      </c>
      <c r="J18" s="40" t="n">
        <v>3</v>
      </c>
      <c r="K18" s="1" t="n">
        <v>13</v>
      </c>
      <c r="L18" s="40" t="n">
        <v>0</v>
      </c>
      <c r="M18" s="1" t="n">
        <v>1</v>
      </c>
      <c r="N18" s="40" t="n">
        <v>0</v>
      </c>
      <c r="O18" s="1" t="n">
        <v>5</v>
      </c>
      <c r="P18" s="39" t="n">
        <f aca="false">SUM(B18:O18)</f>
        <v>129</v>
      </c>
    </row>
    <row r="19" customFormat="false" ht="12.75" hidden="false" customHeight="false" outlineLevel="0" collapsed="false">
      <c r="A19" s="39" t="n">
        <v>16</v>
      </c>
      <c r="B19" s="40" t="n">
        <v>12</v>
      </c>
      <c r="C19" s="41" t="n">
        <v>0</v>
      </c>
      <c r="D19" s="40" t="n">
        <v>49</v>
      </c>
      <c r="E19" s="41" t="n">
        <v>1</v>
      </c>
      <c r="F19" s="40" t="n">
        <v>29</v>
      </c>
      <c r="G19" s="41" t="n">
        <v>2</v>
      </c>
      <c r="H19" s="40" t="n">
        <v>0</v>
      </c>
      <c r="I19" s="1" t="n">
        <v>0</v>
      </c>
      <c r="J19" s="40" t="n">
        <v>4</v>
      </c>
      <c r="K19" s="1" t="n">
        <v>3</v>
      </c>
      <c r="L19" s="40" t="n">
        <v>0</v>
      </c>
      <c r="M19" s="1" t="n">
        <v>0</v>
      </c>
      <c r="N19" s="40" t="n">
        <v>0</v>
      </c>
      <c r="O19" s="1" t="n">
        <v>1</v>
      </c>
      <c r="P19" s="39" t="n">
        <f aca="false">SUM(B19:O19)</f>
        <v>101</v>
      </c>
    </row>
    <row r="20" customFormat="false" ht="12.75" hidden="false" customHeight="false" outlineLevel="0" collapsed="false">
      <c r="A20" s="39" t="n">
        <v>17</v>
      </c>
      <c r="B20" s="40" t="n">
        <v>7</v>
      </c>
      <c r="C20" s="41" t="n">
        <v>1</v>
      </c>
      <c r="D20" s="40" t="n">
        <v>31</v>
      </c>
      <c r="E20" s="41" t="n">
        <v>6</v>
      </c>
      <c r="F20" s="40" t="n">
        <v>34</v>
      </c>
      <c r="G20" s="41" t="n">
        <v>7</v>
      </c>
      <c r="H20" s="40" t="n">
        <v>0</v>
      </c>
      <c r="I20" s="1" t="n">
        <v>1</v>
      </c>
      <c r="J20" s="40" t="n">
        <v>3</v>
      </c>
      <c r="K20" s="1" t="n">
        <v>4</v>
      </c>
      <c r="L20" s="40" t="n">
        <v>0</v>
      </c>
      <c r="M20" s="1" t="n">
        <v>0</v>
      </c>
      <c r="N20" s="40" t="n">
        <v>0</v>
      </c>
      <c r="O20" s="1" t="n">
        <v>2</v>
      </c>
      <c r="P20" s="39" t="n">
        <f aca="false">SUM(B20:O20)</f>
        <v>96</v>
      </c>
    </row>
    <row r="21" customFormat="false" ht="12.75" hidden="false" customHeight="false" outlineLevel="0" collapsed="false">
      <c r="A21" s="39" t="n">
        <v>18</v>
      </c>
      <c r="B21" s="40" t="n">
        <v>15</v>
      </c>
      <c r="C21" s="41" t="n">
        <v>1</v>
      </c>
      <c r="D21" s="40" t="n">
        <v>29</v>
      </c>
      <c r="E21" s="41" t="n">
        <v>2</v>
      </c>
      <c r="F21" s="40" t="n">
        <v>23</v>
      </c>
      <c r="G21" s="41" t="n">
        <v>5</v>
      </c>
      <c r="H21" s="40" t="n">
        <v>0</v>
      </c>
      <c r="I21" s="1" t="n">
        <v>0</v>
      </c>
      <c r="J21" s="40" t="n">
        <v>3</v>
      </c>
      <c r="K21" s="1" t="n">
        <v>0</v>
      </c>
      <c r="L21" s="40" t="n">
        <v>0</v>
      </c>
      <c r="M21" s="1" t="n">
        <v>1</v>
      </c>
      <c r="N21" s="40" t="n">
        <v>0</v>
      </c>
      <c r="O21" s="1" t="n">
        <v>0</v>
      </c>
      <c r="P21" s="39" t="n">
        <f aca="false">SUM(B21:O21)</f>
        <v>79</v>
      </c>
    </row>
    <row r="22" customFormat="false" ht="12.75" hidden="false" customHeight="false" outlineLevel="0" collapsed="false">
      <c r="A22" s="39" t="n">
        <v>19</v>
      </c>
      <c r="B22" s="40" t="n">
        <v>8</v>
      </c>
      <c r="C22" s="41" t="n">
        <v>1</v>
      </c>
      <c r="D22" s="40" t="n">
        <v>21</v>
      </c>
      <c r="E22" s="41" t="n">
        <v>7</v>
      </c>
      <c r="F22" s="40" t="n">
        <v>17</v>
      </c>
      <c r="G22" s="41" t="n">
        <v>2</v>
      </c>
      <c r="H22" s="40" t="n">
        <v>1</v>
      </c>
      <c r="I22" s="1" t="n">
        <v>0</v>
      </c>
      <c r="J22" s="40" t="n">
        <v>3</v>
      </c>
      <c r="K22" s="1" t="n">
        <v>0</v>
      </c>
      <c r="L22" s="40" t="n">
        <v>0</v>
      </c>
      <c r="M22" s="1" t="n">
        <v>0</v>
      </c>
      <c r="N22" s="40" t="n">
        <v>0</v>
      </c>
      <c r="O22" s="1" t="n">
        <v>0</v>
      </c>
      <c r="P22" s="39" t="n">
        <f aca="false">SUM(B22:O22)</f>
        <v>60</v>
      </c>
    </row>
    <row r="23" customFormat="false" ht="12.75" hidden="false" customHeight="false" outlineLevel="0" collapsed="false">
      <c r="A23" s="39" t="n">
        <v>20</v>
      </c>
      <c r="B23" s="40" t="n">
        <v>4</v>
      </c>
      <c r="C23" s="41" t="n">
        <v>1</v>
      </c>
      <c r="D23" s="40" t="n">
        <v>23</v>
      </c>
      <c r="E23" s="41" t="n">
        <v>3</v>
      </c>
      <c r="F23" s="40" t="n">
        <v>3</v>
      </c>
      <c r="G23" s="41" t="n">
        <v>3</v>
      </c>
      <c r="H23" s="40" t="n">
        <v>0</v>
      </c>
      <c r="I23" s="1" t="n">
        <v>0</v>
      </c>
      <c r="J23" s="40" t="n">
        <v>7</v>
      </c>
      <c r="K23" s="1" t="n">
        <v>0</v>
      </c>
      <c r="L23" s="40" t="n">
        <v>0</v>
      </c>
      <c r="M23" s="1" t="n">
        <v>0</v>
      </c>
      <c r="N23" s="40" t="n">
        <v>0</v>
      </c>
      <c r="O23" s="1" t="n">
        <v>0</v>
      </c>
      <c r="P23" s="39" t="n">
        <f aca="false">SUM(B23:O23)</f>
        <v>44</v>
      </c>
    </row>
    <row r="24" customFormat="false" ht="12.75" hidden="false" customHeight="false" outlineLevel="0" collapsed="false">
      <c r="A24" s="39" t="n">
        <v>21</v>
      </c>
      <c r="B24" s="40" t="n">
        <v>16</v>
      </c>
      <c r="C24" s="41" t="n">
        <v>2</v>
      </c>
      <c r="D24" s="40" t="n">
        <v>26</v>
      </c>
      <c r="E24" s="41" t="n">
        <v>3</v>
      </c>
      <c r="F24" s="40" t="n">
        <v>7</v>
      </c>
      <c r="G24" s="41" t="n">
        <v>2</v>
      </c>
      <c r="H24" s="40" t="n">
        <v>0</v>
      </c>
      <c r="I24" s="1" t="n">
        <v>1</v>
      </c>
      <c r="J24" s="40" t="n">
        <v>4</v>
      </c>
      <c r="K24" s="1" t="n">
        <v>0</v>
      </c>
      <c r="L24" s="40" t="n">
        <v>0</v>
      </c>
      <c r="M24" s="1" t="n">
        <v>0</v>
      </c>
      <c r="N24" s="40" t="n">
        <v>0</v>
      </c>
      <c r="O24" s="1" t="n">
        <v>0</v>
      </c>
      <c r="P24" s="39" t="n">
        <f aca="false">SUM(B24:O24)</f>
        <v>61</v>
      </c>
    </row>
    <row r="25" customFormat="false" ht="12.75" hidden="false" customHeight="false" outlineLevel="0" collapsed="false">
      <c r="A25" s="39" t="n">
        <v>22</v>
      </c>
      <c r="B25" s="40" t="n">
        <v>30</v>
      </c>
      <c r="C25" s="41" t="n">
        <v>0</v>
      </c>
      <c r="D25" s="40" t="n">
        <v>21</v>
      </c>
      <c r="E25" s="41" t="n">
        <v>0</v>
      </c>
      <c r="F25" s="40" t="n">
        <v>2</v>
      </c>
      <c r="G25" s="41" t="n">
        <v>0</v>
      </c>
      <c r="H25" s="40" t="n">
        <v>0</v>
      </c>
      <c r="I25" s="1" t="n">
        <v>0</v>
      </c>
      <c r="J25" s="40" t="n">
        <v>3</v>
      </c>
      <c r="K25" s="1" t="n">
        <v>0</v>
      </c>
      <c r="L25" s="40" t="n">
        <v>0</v>
      </c>
      <c r="M25" s="1" t="n">
        <v>0</v>
      </c>
      <c r="N25" s="40" t="n">
        <v>0</v>
      </c>
      <c r="O25" s="1" t="n">
        <v>0</v>
      </c>
      <c r="P25" s="39" t="n">
        <f aca="false">SUM(B25:O25)</f>
        <v>56</v>
      </c>
    </row>
    <row r="26" customFormat="false" ht="12.75" hidden="false" customHeight="false" outlineLevel="0" collapsed="false">
      <c r="A26" s="39" t="n">
        <v>23</v>
      </c>
      <c r="B26" s="40" t="n">
        <v>29</v>
      </c>
      <c r="C26" s="41" t="n">
        <v>0</v>
      </c>
      <c r="D26" s="40" t="n">
        <v>19</v>
      </c>
      <c r="E26" s="41" t="n">
        <v>1</v>
      </c>
      <c r="F26" s="40" t="n">
        <v>2</v>
      </c>
      <c r="G26" s="41" t="n">
        <v>2</v>
      </c>
      <c r="H26" s="40" t="n">
        <v>0</v>
      </c>
      <c r="I26" s="1" t="n">
        <v>0</v>
      </c>
      <c r="J26" s="40" t="n">
        <v>4</v>
      </c>
      <c r="K26" s="1" t="n">
        <v>0</v>
      </c>
      <c r="L26" s="40" t="n">
        <v>0</v>
      </c>
      <c r="M26" s="1" t="n">
        <v>0</v>
      </c>
      <c r="N26" s="40" t="n">
        <v>0</v>
      </c>
      <c r="O26" s="1" t="n">
        <v>0</v>
      </c>
      <c r="P26" s="39" t="n">
        <f aca="false">SUM(B26:O26)</f>
        <v>57</v>
      </c>
    </row>
    <row r="27" customFormat="false" ht="12.75" hidden="false" customHeight="false" outlineLevel="0" collapsed="false">
      <c r="A27" s="39" t="n">
        <v>24</v>
      </c>
      <c r="B27" s="40" t="n">
        <v>27</v>
      </c>
      <c r="C27" s="41" t="n">
        <v>0</v>
      </c>
      <c r="D27" s="40" t="n">
        <v>46</v>
      </c>
      <c r="E27" s="41" t="n">
        <v>1</v>
      </c>
      <c r="F27" s="40" t="n">
        <v>1</v>
      </c>
      <c r="G27" s="41" t="n">
        <v>0</v>
      </c>
      <c r="H27" s="40" t="n">
        <v>0</v>
      </c>
      <c r="I27" s="1" t="n">
        <v>0</v>
      </c>
      <c r="J27" s="40" t="n">
        <v>2</v>
      </c>
      <c r="K27" s="1" t="n">
        <v>0</v>
      </c>
      <c r="L27" s="40" t="n">
        <v>0</v>
      </c>
      <c r="M27" s="1" t="n">
        <v>0</v>
      </c>
      <c r="N27" s="40" t="n">
        <v>0</v>
      </c>
      <c r="O27" s="1" t="n">
        <v>0</v>
      </c>
      <c r="P27" s="39" t="n">
        <f aca="false">SUM(B27:O27)</f>
        <v>77</v>
      </c>
    </row>
    <row r="28" customFormat="false" ht="12.75" hidden="false" customHeight="false" outlineLevel="0" collapsed="false">
      <c r="A28" s="39" t="n">
        <v>25</v>
      </c>
      <c r="B28" s="40" t="n">
        <v>28</v>
      </c>
      <c r="C28" s="41" t="n">
        <v>0</v>
      </c>
      <c r="D28" s="40" t="n">
        <v>50</v>
      </c>
      <c r="E28" s="41" t="n">
        <v>0</v>
      </c>
      <c r="F28" s="40" t="n">
        <v>1</v>
      </c>
      <c r="G28" s="41" t="n">
        <v>0</v>
      </c>
      <c r="H28" s="40" t="n">
        <v>0</v>
      </c>
      <c r="I28" s="1" t="n">
        <v>0</v>
      </c>
      <c r="J28" s="40" t="n">
        <v>3</v>
      </c>
      <c r="K28" s="1" t="n">
        <v>0</v>
      </c>
      <c r="L28" s="40" t="n">
        <v>0</v>
      </c>
      <c r="M28" s="1" t="n">
        <v>0</v>
      </c>
      <c r="N28" s="40" t="n">
        <v>0</v>
      </c>
      <c r="O28" s="1" t="n">
        <v>0</v>
      </c>
      <c r="P28" s="39" t="n">
        <f aca="false">SUM(B28:O28)</f>
        <v>82</v>
      </c>
    </row>
    <row r="29" customFormat="false" ht="12.75" hidden="false" customHeight="false" outlineLevel="0" collapsed="false">
      <c r="A29" s="39" t="n">
        <v>26</v>
      </c>
      <c r="B29" s="40" t="n">
        <v>12</v>
      </c>
      <c r="C29" s="41" t="n">
        <v>0</v>
      </c>
      <c r="D29" s="40" t="n">
        <v>52</v>
      </c>
      <c r="E29" s="41" t="n">
        <v>0</v>
      </c>
      <c r="F29" s="40" t="n">
        <v>1</v>
      </c>
      <c r="G29" s="41" t="n">
        <v>1</v>
      </c>
      <c r="H29" s="40" t="n">
        <v>0</v>
      </c>
      <c r="I29" s="1" t="n">
        <v>0</v>
      </c>
      <c r="J29" s="40" t="n">
        <v>4</v>
      </c>
      <c r="K29" s="1" t="n">
        <v>0</v>
      </c>
      <c r="L29" s="40" t="n">
        <v>0</v>
      </c>
      <c r="M29" s="1" t="n">
        <v>0</v>
      </c>
      <c r="N29" s="40" t="n">
        <v>0</v>
      </c>
      <c r="O29" s="1" t="n">
        <v>0</v>
      </c>
      <c r="P29" s="39" t="n">
        <f aca="false">SUM(B29:O29)</f>
        <v>70</v>
      </c>
    </row>
    <row r="30" customFormat="false" ht="12.75" hidden="false" customHeight="false" outlineLevel="0" collapsed="false">
      <c r="A30" s="39" t="n">
        <v>27</v>
      </c>
      <c r="B30" s="40" t="n">
        <v>8</v>
      </c>
      <c r="C30" s="41" t="n">
        <v>0</v>
      </c>
      <c r="D30" s="40" t="n">
        <v>65</v>
      </c>
      <c r="E30" s="41" t="n">
        <v>0</v>
      </c>
      <c r="F30" s="40" t="n">
        <v>1</v>
      </c>
      <c r="G30" s="41" t="n">
        <v>0</v>
      </c>
      <c r="H30" s="40" t="n">
        <v>0</v>
      </c>
      <c r="I30" s="1" t="n">
        <v>0</v>
      </c>
      <c r="J30" s="40" t="n">
        <v>2</v>
      </c>
      <c r="K30" s="1" t="n">
        <v>0</v>
      </c>
      <c r="L30" s="40" t="n">
        <v>0</v>
      </c>
      <c r="M30" s="1" t="n">
        <v>0</v>
      </c>
      <c r="N30" s="40" t="n">
        <v>0</v>
      </c>
      <c r="O30" s="1" t="n">
        <v>0</v>
      </c>
      <c r="P30" s="39" t="n">
        <f aca="false">SUM(B30:O30)</f>
        <v>76</v>
      </c>
    </row>
    <row r="31" customFormat="false" ht="12.75" hidden="false" customHeight="false" outlineLevel="0" collapsed="false">
      <c r="A31" s="39" t="n">
        <v>28</v>
      </c>
      <c r="B31" s="40" t="n">
        <v>2</v>
      </c>
      <c r="C31" s="41" t="n">
        <v>0</v>
      </c>
      <c r="D31" s="40" t="n">
        <v>42</v>
      </c>
      <c r="E31" s="41" t="n">
        <v>0</v>
      </c>
      <c r="F31" s="40" t="n">
        <v>1</v>
      </c>
      <c r="G31" s="41" t="n">
        <v>0</v>
      </c>
      <c r="H31" s="40" t="n">
        <v>0</v>
      </c>
      <c r="I31" s="1" t="n">
        <v>0</v>
      </c>
      <c r="J31" s="40" t="n">
        <v>3</v>
      </c>
      <c r="K31" s="1" t="n">
        <v>0</v>
      </c>
      <c r="L31" s="40" t="n">
        <v>0</v>
      </c>
      <c r="M31" s="1" t="n">
        <v>0</v>
      </c>
      <c r="N31" s="40" t="n">
        <v>0</v>
      </c>
      <c r="O31" s="1" t="n">
        <v>0</v>
      </c>
      <c r="P31" s="39" t="n">
        <f aca="false">SUM(B31:O31)</f>
        <v>48</v>
      </c>
    </row>
    <row r="32" customFormat="false" ht="12.75" hidden="false" customHeight="false" outlineLevel="0" collapsed="false">
      <c r="A32" s="39" t="n">
        <v>29</v>
      </c>
      <c r="B32" s="40" t="n">
        <v>1</v>
      </c>
      <c r="C32" s="41" t="n">
        <v>0</v>
      </c>
      <c r="D32" s="40" t="n">
        <v>39</v>
      </c>
      <c r="E32" s="41" t="n">
        <v>0</v>
      </c>
      <c r="F32" s="40" t="n">
        <v>2</v>
      </c>
      <c r="G32" s="41" t="n">
        <v>0</v>
      </c>
      <c r="H32" s="40" t="n">
        <v>0</v>
      </c>
      <c r="I32" s="1" t="n">
        <v>0</v>
      </c>
      <c r="J32" s="40" t="n">
        <v>2</v>
      </c>
      <c r="K32" s="1" t="n">
        <v>0</v>
      </c>
      <c r="L32" s="40" t="n">
        <v>0</v>
      </c>
      <c r="M32" s="1" t="n">
        <v>0</v>
      </c>
      <c r="N32" s="40" t="n">
        <v>0</v>
      </c>
      <c r="O32" s="1" t="n">
        <v>0</v>
      </c>
      <c r="P32" s="39" t="n">
        <f aca="false">SUM(B32:O32)</f>
        <v>44</v>
      </c>
    </row>
    <row r="33" customFormat="false" ht="12.75" hidden="false" customHeight="false" outlineLevel="0" collapsed="false">
      <c r="A33" s="39" t="n">
        <v>30</v>
      </c>
      <c r="B33" s="40" t="n">
        <v>0</v>
      </c>
      <c r="C33" s="41" t="n">
        <v>0</v>
      </c>
      <c r="D33" s="40" t="n">
        <v>28</v>
      </c>
      <c r="E33" s="41" t="n">
        <v>0</v>
      </c>
      <c r="F33" s="40" t="n">
        <v>2</v>
      </c>
      <c r="G33" s="41" t="n">
        <v>0</v>
      </c>
      <c r="H33" s="40" t="n">
        <v>0</v>
      </c>
      <c r="I33" s="1" t="n">
        <v>0</v>
      </c>
      <c r="J33" s="40" t="n">
        <v>3</v>
      </c>
      <c r="K33" s="1" t="n">
        <v>0</v>
      </c>
      <c r="L33" s="40" t="n">
        <v>0</v>
      </c>
      <c r="M33" s="1" t="n">
        <v>0</v>
      </c>
      <c r="N33" s="40" t="n">
        <v>0</v>
      </c>
      <c r="O33" s="1" t="n">
        <v>0</v>
      </c>
      <c r="P33" s="39" t="n">
        <f aca="false">SUM(B33:O33)</f>
        <v>33</v>
      </c>
    </row>
    <row r="34" customFormat="false" ht="12.75" hidden="false" customHeight="false" outlineLevel="0" collapsed="false">
      <c r="A34" s="39" t="n">
        <v>31</v>
      </c>
      <c r="B34" s="40" t="n">
        <v>0</v>
      </c>
      <c r="C34" s="41" t="n">
        <v>0</v>
      </c>
      <c r="D34" s="40" t="n">
        <v>14</v>
      </c>
      <c r="E34" s="41" t="n">
        <v>0</v>
      </c>
      <c r="F34" s="40" t="n">
        <v>0</v>
      </c>
      <c r="G34" s="41" t="n">
        <v>0</v>
      </c>
      <c r="H34" s="40" t="n">
        <v>0</v>
      </c>
      <c r="I34" s="1" t="n">
        <v>0</v>
      </c>
      <c r="J34" s="40" t="n">
        <v>0</v>
      </c>
      <c r="K34" s="1" t="n">
        <v>0</v>
      </c>
      <c r="L34" s="40" t="n">
        <v>0</v>
      </c>
      <c r="M34" s="1" t="n">
        <v>0</v>
      </c>
      <c r="N34" s="40" t="n">
        <v>0</v>
      </c>
      <c r="O34" s="1" t="n">
        <v>0</v>
      </c>
      <c r="P34" s="39" t="n">
        <f aca="false">SUM(B34:O34)</f>
        <v>14</v>
      </c>
    </row>
    <row r="35" customFormat="false" ht="12.75" hidden="false" customHeight="false" outlineLevel="0" collapsed="false">
      <c r="A35" s="39" t="n">
        <v>32</v>
      </c>
      <c r="B35" s="40" t="n">
        <v>0</v>
      </c>
      <c r="C35" s="41" t="n">
        <v>0</v>
      </c>
      <c r="D35" s="40" t="n">
        <v>4</v>
      </c>
      <c r="E35" s="41" t="n">
        <v>0</v>
      </c>
      <c r="F35" s="40" t="n">
        <v>0</v>
      </c>
      <c r="G35" s="41" t="n">
        <v>0</v>
      </c>
      <c r="H35" s="40" t="n">
        <v>0</v>
      </c>
      <c r="I35" s="1" t="n">
        <v>0</v>
      </c>
      <c r="J35" s="40" t="n">
        <v>1</v>
      </c>
      <c r="K35" s="1" t="n">
        <v>0</v>
      </c>
      <c r="L35" s="40" t="n">
        <v>0</v>
      </c>
      <c r="M35" s="1" t="n">
        <v>0</v>
      </c>
      <c r="N35" s="40" t="n">
        <v>0</v>
      </c>
      <c r="O35" s="41" t="n">
        <v>0</v>
      </c>
      <c r="P35" s="39" t="n">
        <f aca="false">SUM(B35:O35)</f>
        <v>5</v>
      </c>
    </row>
    <row r="36" customFormat="false" ht="12.75" hidden="false" customHeight="false" outlineLevel="0" collapsed="false">
      <c r="A36" s="39" t="n">
        <v>33</v>
      </c>
      <c r="B36" s="40" t="n">
        <v>0</v>
      </c>
      <c r="C36" s="41" t="n">
        <v>0</v>
      </c>
      <c r="D36" s="40" t="n">
        <v>4</v>
      </c>
      <c r="E36" s="41" t="n">
        <v>0</v>
      </c>
      <c r="F36" s="40" t="n">
        <v>0</v>
      </c>
      <c r="G36" s="41" t="n">
        <v>0</v>
      </c>
      <c r="H36" s="40" t="n">
        <v>0</v>
      </c>
      <c r="I36" s="1" t="n">
        <v>0</v>
      </c>
      <c r="J36" s="40" t="n">
        <v>0</v>
      </c>
      <c r="K36" s="1" t="n">
        <v>0</v>
      </c>
      <c r="L36" s="40" t="n">
        <v>0</v>
      </c>
      <c r="M36" s="1" t="n">
        <v>0</v>
      </c>
      <c r="N36" s="40" t="n">
        <v>0</v>
      </c>
      <c r="O36" s="41" t="n">
        <v>0</v>
      </c>
      <c r="P36" s="39" t="n">
        <f aca="false">SUM(B36:O36)</f>
        <v>4</v>
      </c>
    </row>
    <row r="37" customFormat="false" ht="12.75" hidden="false" customHeight="false" outlineLevel="0" collapsed="false">
      <c r="A37" s="39" t="n">
        <v>34</v>
      </c>
      <c r="B37" s="40" t="n">
        <v>0</v>
      </c>
      <c r="C37" s="41" t="n">
        <v>0</v>
      </c>
      <c r="D37" s="40" t="n">
        <v>2</v>
      </c>
      <c r="E37" s="41" t="n">
        <v>0</v>
      </c>
      <c r="F37" s="40" t="n">
        <v>0</v>
      </c>
      <c r="G37" s="41" t="n">
        <v>0</v>
      </c>
      <c r="H37" s="40" t="n">
        <v>0</v>
      </c>
      <c r="I37" s="1" t="n">
        <v>0</v>
      </c>
      <c r="J37" s="40" t="n">
        <v>0</v>
      </c>
      <c r="K37" s="1" t="n">
        <v>0</v>
      </c>
      <c r="L37" s="40" t="n">
        <v>0</v>
      </c>
      <c r="M37" s="1" t="n">
        <v>0</v>
      </c>
      <c r="N37" s="40" t="n">
        <v>0</v>
      </c>
      <c r="O37" s="41" t="n">
        <v>0</v>
      </c>
      <c r="P37" s="39" t="n">
        <f aca="false">SUM(B37:O37)</f>
        <v>2</v>
      </c>
    </row>
    <row r="38" customFormat="false" ht="12.75" hidden="false" customHeight="false" outlineLevel="0" collapsed="false">
      <c r="A38" s="39" t="n">
        <v>35</v>
      </c>
      <c r="B38" s="40" t="n">
        <v>0</v>
      </c>
      <c r="C38" s="41" t="n">
        <v>0</v>
      </c>
      <c r="D38" s="40" t="n">
        <v>0</v>
      </c>
      <c r="E38" s="41" t="n">
        <v>0</v>
      </c>
      <c r="F38" s="40" t="n">
        <v>0</v>
      </c>
      <c r="G38" s="41" t="n">
        <v>0</v>
      </c>
      <c r="H38" s="40" t="n">
        <v>0</v>
      </c>
      <c r="I38" s="1" t="n">
        <v>0</v>
      </c>
      <c r="J38" s="40" t="n">
        <v>0</v>
      </c>
      <c r="K38" s="1" t="n">
        <v>0</v>
      </c>
      <c r="L38" s="40" t="n">
        <v>0</v>
      </c>
      <c r="M38" s="1" t="n">
        <v>0</v>
      </c>
      <c r="N38" s="40" t="n">
        <v>0</v>
      </c>
      <c r="O38" s="41" t="n">
        <v>0</v>
      </c>
      <c r="P38" s="39" t="n">
        <f aca="false">SUM(B38:O38)</f>
        <v>0</v>
      </c>
    </row>
    <row r="39" customFormat="false" ht="12.75" hidden="false" customHeight="false" outlineLevel="0" collapsed="false">
      <c r="A39" s="39" t="n">
        <v>36</v>
      </c>
      <c r="B39" s="40" t="n">
        <v>0</v>
      </c>
      <c r="C39" s="41" t="n">
        <v>0</v>
      </c>
      <c r="D39" s="1" t="n">
        <v>1</v>
      </c>
      <c r="E39" s="41" t="n">
        <v>0</v>
      </c>
      <c r="F39" s="45" t="n">
        <v>0</v>
      </c>
      <c r="G39" s="41" t="n">
        <v>0</v>
      </c>
      <c r="H39" s="45" t="n">
        <v>0</v>
      </c>
      <c r="I39" s="1" t="n">
        <v>0</v>
      </c>
      <c r="J39" s="45" t="n">
        <v>0</v>
      </c>
      <c r="K39" s="1" t="n">
        <v>0</v>
      </c>
      <c r="L39" s="45" t="n">
        <v>0</v>
      </c>
      <c r="M39" s="1" t="n">
        <v>0</v>
      </c>
      <c r="N39" s="45" t="n">
        <v>0</v>
      </c>
      <c r="O39" s="46" t="n">
        <v>0</v>
      </c>
      <c r="P39" s="47" t="n">
        <f aca="false">SUM(B39:O39)</f>
        <v>1</v>
      </c>
    </row>
    <row r="40" customFormat="false" ht="12.75" hidden="false" customHeight="false" outlineLevel="0" collapsed="false">
      <c r="A40" s="48" t="s">
        <v>272</v>
      </c>
      <c r="B40" s="48" t="n">
        <f aca="false">SUM(B5:B39)</f>
        <v>631</v>
      </c>
      <c r="C40" s="48" t="n">
        <f aca="false">SUM(C5:C39)</f>
        <v>47</v>
      </c>
      <c r="D40" s="48" t="n">
        <f aca="false">SUM(D5:D39)</f>
        <v>787</v>
      </c>
      <c r="E40" s="48" t="n">
        <f aca="false">SUM(E5:E39)</f>
        <v>134</v>
      </c>
      <c r="F40" s="48" t="n">
        <f aca="false">SUM(F5:F39)</f>
        <v>213</v>
      </c>
      <c r="G40" s="48" t="n">
        <f aca="false">SUM(G5:G39)</f>
        <v>242</v>
      </c>
      <c r="H40" s="48" t="n">
        <f aca="false">SUM(H5:H39)</f>
        <v>3</v>
      </c>
      <c r="I40" s="48" t="n">
        <f aca="false">SUM(I5:I39)</f>
        <v>12</v>
      </c>
      <c r="J40" s="48" t="n">
        <f aca="false">SUM(J5:J39)</f>
        <v>98</v>
      </c>
      <c r="K40" s="48" t="n">
        <f aca="false">SUM(K5:K39)</f>
        <v>215</v>
      </c>
      <c r="L40" s="48" t="n">
        <f aca="false">SUM(L5:L39)</f>
        <v>11</v>
      </c>
      <c r="M40" s="48" t="n">
        <f aca="false">SUM(M5:M39)</f>
        <v>1241</v>
      </c>
      <c r="N40" s="48" t="n">
        <f aca="false">SUM(N5:N39)</f>
        <v>5</v>
      </c>
      <c r="O40" s="48" t="n">
        <f aca="false">SUM(O5:O39)</f>
        <v>247</v>
      </c>
      <c r="P40" s="49" t="n">
        <f aca="false">SUM(B40:O40)</f>
        <v>3886</v>
      </c>
    </row>
    <row r="1048576" customFormat="false" ht="12.8" hidden="false" customHeight="false" outlineLevel="0" collapsed="false"/>
  </sheetData>
  <mergeCells count="8">
    <mergeCell ref="A3:A4"/>
    <mergeCell ref="B3:C3"/>
    <mergeCell ref="D3:E3"/>
    <mergeCell ref="F3:G3"/>
    <mergeCell ref="H3:I3"/>
    <mergeCell ref="J3:K3"/>
    <mergeCell ref="L3:M3"/>
    <mergeCell ref="N3:O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4" min="2" style="50" width="8.85"/>
    <col collapsed="false" customWidth="true" hidden="false" outlineLevel="0" max="15" min="15" style="50" width="10.29"/>
  </cols>
  <sheetData>
    <row r="1" customFormat="false" ht="12.75" hidden="false" customHeight="false" outlineLevel="0" collapsed="false">
      <c r="A1" s="1" t="s">
        <v>275</v>
      </c>
    </row>
    <row r="3" customFormat="false" ht="12.75" hidden="false" customHeight="true" outlineLevel="0" collapsed="false">
      <c r="A3" s="32" t="s">
        <v>271</v>
      </c>
      <c r="B3" s="51" t="s">
        <v>86</v>
      </c>
      <c r="C3" s="51"/>
      <c r="D3" s="33" t="s">
        <v>132</v>
      </c>
      <c r="E3" s="33"/>
      <c r="F3" s="33" t="s">
        <v>161</v>
      </c>
      <c r="G3" s="33"/>
      <c r="H3" s="33" t="s">
        <v>175</v>
      </c>
      <c r="I3" s="33"/>
      <c r="J3" s="33" t="s">
        <v>188</v>
      </c>
      <c r="K3" s="33"/>
      <c r="L3" s="33" t="s">
        <v>223</v>
      </c>
      <c r="M3" s="33"/>
      <c r="N3" s="33" t="s">
        <v>257</v>
      </c>
      <c r="O3" s="33"/>
      <c r="P3" s="40"/>
    </row>
    <row r="4" customFormat="false" ht="12.75" hidden="false" customHeight="false" outlineLevel="0" collapsed="false">
      <c r="A4" s="32"/>
      <c r="B4" s="52" t="s">
        <v>273</v>
      </c>
      <c r="C4" s="53" t="s">
        <v>274</v>
      </c>
      <c r="D4" s="52" t="s">
        <v>273</v>
      </c>
      <c r="E4" s="53" t="s">
        <v>274</v>
      </c>
      <c r="F4" s="52" t="s">
        <v>273</v>
      </c>
      <c r="G4" s="53" t="s">
        <v>274</v>
      </c>
      <c r="H4" s="52" t="s">
        <v>273</v>
      </c>
      <c r="I4" s="54" t="s">
        <v>274</v>
      </c>
      <c r="J4" s="52" t="s">
        <v>273</v>
      </c>
      <c r="K4" s="54" t="s">
        <v>274</v>
      </c>
      <c r="L4" s="52" t="s">
        <v>273</v>
      </c>
      <c r="M4" s="54" t="s">
        <v>274</v>
      </c>
      <c r="N4" s="52" t="s">
        <v>273</v>
      </c>
      <c r="O4" s="54" t="s">
        <v>274</v>
      </c>
      <c r="P4" s="40"/>
    </row>
    <row r="5" customFormat="false" ht="12.75" hidden="false" customHeight="false" outlineLevel="0" collapsed="false">
      <c r="A5" s="39" t="n">
        <v>2</v>
      </c>
      <c r="B5" s="55" t="n">
        <v>0.00158478605388273</v>
      </c>
      <c r="C5" s="56" t="n">
        <v>0</v>
      </c>
      <c r="D5" s="55" t="n">
        <v>0</v>
      </c>
      <c r="E5" s="56" t="n">
        <v>0</v>
      </c>
      <c r="F5" s="57" t="n">
        <v>0</v>
      </c>
      <c r="G5" s="56" t="n">
        <v>0</v>
      </c>
      <c r="H5" s="55" t="n">
        <v>0</v>
      </c>
      <c r="I5" s="58" t="n">
        <v>0</v>
      </c>
      <c r="J5" s="57" t="n">
        <v>0</v>
      </c>
      <c r="K5" s="59" t="n">
        <v>0.0186046511627907</v>
      </c>
      <c r="L5" s="57" t="n">
        <v>0</v>
      </c>
      <c r="M5" s="59" t="n">
        <v>0.0467365028203062</v>
      </c>
      <c r="N5" s="57" t="n">
        <v>0</v>
      </c>
      <c r="O5" s="59" t="n">
        <v>0</v>
      </c>
      <c r="P5" s="40"/>
      <c r="R5" s="50"/>
    </row>
    <row r="6" customFormat="false" ht="12.75" hidden="false" customHeight="false" outlineLevel="0" collapsed="false">
      <c r="A6" s="39" t="n">
        <v>3</v>
      </c>
      <c r="B6" s="55" t="n">
        <v>0.0063391442155309</v>
      </c>
      <c r="C6" s="56" t="n">
        <v>0</v>
      </c>
      <c r="D6" s="55" t="n">
        <v>0</v>
      </c>
      <c r="E6" s="56" t="n">
        <v>0</v>
      </c>
      <c r="F6" s="55" t="n">
        <v>0</v>
      </c>
      <c r="G6" s="56" t="n">
        <v>0.0413223140495868</v>
      </c>
      <c r="H6" s="55" t="n">
        <v>0</v>
      </c>
      <c r="I6" s="60" t="n">
        <v>0.0833333333333333</v>
      </c>
      <c r="J6" s="55" t="n">
        <v>0.0102040816326531</v>
      </c>
      <c r="K6" s="60" t="n">
        <v>0.0511627906976744</v>
      </c>
      <c r="L6" s="55" t="n">
        <v>0</v>
      </c>
      <c r="M6" s="60" t="n">
        <v>0.203867848509267</v>
      </c>
      <c r="N6" s="55" t="n">
        <v>0</v>
      </c>
      <c r="O6" s="60" t="n">
        <v>0.0364372469635628</v>
      </c>
      <c r="P6" s="40"/>
      <c r="R6" s="50"/>
    </row>
    <row r="7" customFormat="false" ht="12.75" hidden="false" customHeight="false" outlineLevel="0" collapsed="false">
      <c r="A7" s="39" t="n">
        <v>4</v>
      </c>
      <c r="B7" s="55" t="n">
        <v>0.0190174326465927</v>
      </c>
      <c r="C7" s="56" t="n">
        <v>0.0212765957446809</v>
      </c>
      <c r="D7" s="55" t="n">
        <v>0</v>
      </c>
      <c r="E7" s="56" t="n">
        <v>0.00746268656716418</v>
      </c>
      <c r="F7" s="55" t="n">
        <v>0</v>
      </c>
      <c r="G7" s="56" t="n">
        <v>0.0619834710743802</v>
      </c>
      <c r="H7" s="55" t="n">
        <v>0</v>
      </c>
      <c r="I7" s="60" t="n">
        <v>0</v>
      </c>
      <c r="J7" s="55" t="n">
        <v>0.0306122448979592</v>
      </c>
      <c r="K7" s="60" t="n">
        <v>0.0883720930232558</v>
      </c>
      <c r="L7" s="55" t="n">
        <v>0.0909090909090909</v>
      </c>
      <c r="M7" s="60" t="n">
        <v>0.292506043513296</v>
      </c>
      <c r="N7" s="55" t="n">
        <v>0</v>
      </c>
      <c r="O7" s="60" t="n">
        <v>0.0809716599190283</v>
      </c>
      <c r="P7" s="40"/>
      <c r="R7" s="50"/>
    </row>
    <row r="8" customFormat="false" ht="12.75" hidden="false" customHeight="false" outlineLevel="0" collapsed="false">
      <c r="A8" s="39" t="n">
        <v>5</v>
      </c>
      <c r="B8" s="55" t="n">
        <v>0.0475435816164818</v>
      </c>
      <c r="C8" s="56" t="n">
        <v>0.106382978723404</v>
      </c>
      <c r="D8" s="55" t="n">
        <v>0</v>
      </c>
      <c r="E8" s="56" t="n">
        <v>0.0298507462686567</v>
      </c>
      <c r="F8" s="55" t="n">
        <v>0</v>
      </c>
      <c r="G8" s="56" t="n">
        <v>0.0909090909090909</v>
      </c>
      <c r="H8" s="55" t="n">
        <v>0</v>
      </c>
      <c r="I8" s="60" t="n">
        <v>0.0833333333333333</v>
      </c>
      <c r="J8" s="55" t="n">
        <v>0.0714285714285714</v>
      </c>
      <c r="K8" s="60" t="n">
        <v>0.172093023255814</v>
      </c>
      <c r="L8" s="55" t="n">
        <v>0.181818181818182</v>
      </c>
      <c r="M8" s="60" t="n">
        <v>0.261079774375504</v>
      </c>
      <c r="N8" s="55" t="n">
        <v>0.2</v>
      </c>
      <c r="O8" s="60" t="n">
        <v>0.129554655870445</v>
      </c>
      <c r="P8" s="40"/>
      <c r="R8" s="50"/>
    </row>
    <row r="9" customFormat="false" ht="12.75" hidden="false" customHeight="false" outlineLevel="0" collapsed="false">
      <c r="A9" s="39" t="n">
        <v>6</v>
      </c>
      <c r="B9" s="55" t="n">
        <v>0.063391442155309</v>
      </c>
      <c r="C9" s="56" t="n">
        <v>0.170212765957447</v>
      </c>
      <c r="D9" s="55" t="n">
        <v>0</v>
      </c>
      <c r="E9" s="56" t="n">
        <v>0.0223880597014925</v>
      </c>
      <c r="F9" s="55" t="n">
        <v>0</v>
      </c>
      <c r="G9" s="56" t="n">
        <v>0.111570247933884</v>
      </c>
      <c r="H9" s="55" t="n">
        <v>0</v>
      </c>
      <c r="I9" s="60" t="n">
        <v>0</v>
      </c>
      <c r="J9" s="55" t="n">
        <v>0.142857142857143</v>
      </c>
      <c r="K9" s="60" t="n">
        <v>0.125581395348837</v>
      </c>
      <c r="L9" s="55" t="n">
        <v>0.181818181818182</v>
      </c>
      <c r="M9" s="60" t="n">
        <v>0.0870265914585012</v>
      </c>
      <c r="N9" s="55" t="n">
        <v>0.2</v>
      </c>
      <c r="O9" s="60" t="n">
        <v>0.133603238866397</v>
      </c>
      <c r="P9" s="40"/>
      <c r="R9" s="50"/>
    </row>
    <row r="10" customFormat="false" ht="12.75" hidden="false" customHeight="false" outlineLevel="0" collapsed="false">
      <c r="A10" s="39" t="n">
        <v>7</v>
      </c>
      <c r="B10" s="55" t="n">
        <v>0.0760697305863708</v>
      </c>
      <c r="C10" s="56" t="n">
        <v>0.0425531914893617</v>
      </c>
      <c r="D10" s="55" t="n">
        <v>0.00508259212198221</v>
      </c>
      <c r="E10" s="56" t="n">
        <v>0.082089552238806</v>
      </c>
      <c r="F10" s="55" t="n">
        <v>0.00938967136150235</v>
      </c>
      <c r="G10" s="56" t="n">
        <v>0.119834710743802</v>
      </c>
      <c r="H10" s="55" t="n">
        <v>0</v>
      </c>
      <c r="I10" s="60" t="n">
        <v>0</v>
      </c>
      <c r="J10" s="55" t="n">
        <v>0.0612244897959184</v>
      </c>
      <c r="K10" s="60" t="n">
        <v>0.0651162790697674</v>
      </c>
      <c r="L10" s="55" t="n">
        <v>0.0909090909090909</v>
      </c>
      <c r="M10" s="60" t="n">
        <v>0.0523771152296535</v>
      </c>
      <c r="N10" s="55" t="n">
        <v>0.2</v>
      </c>
      <c r="O10" s="60" t="n">
        <v>0.149797570850202</v>
      </c>
      <c r="P10" s="40"/>
      <c r="R10" s="50"/>
    </row>
    <row r="11" customFormat="false" ht="12.75" hidden="false" customHeight="false" outlineLevel="0" collapsed="false">
      <c r="A11" s="39" t="n">
        <v>8</v>
      </c>
      <c r="B11" s="55" t="n">
        <v>0.0792393026941363</v>
      </c>
      <c r="C11" s="56" t="n">
        <v>0.0425531914893617</v>
      </c>
      <c r="D11" s="55" t="n">
        <v>0.00762388818297332</v>
      </c>
      <c r="E11" s="56" t="n">
        <v>0.082089552238806</v>
      </c>
      <c r="F11" s="55" t="n">
        <v>0.00469483568075117</v>
      </c>
      <c r="G11" s="56" t="n">
        <v>0.128099173553719</v>
      </c>
      <c r="H11" s="55" t="n">
        <v>0</v>
      </c>
      <c r="I11" s="60" t="n">
        <v>0</v>
      </c>
      <c r="J11" s="55" t="n">
        <v>0.0408163265306122</v>
      </c>
      <c r="K11" s="60" t="n">
        <v>0.0465116279069767</v>
      </c>
      <c r="L11" s="55" t="n">
        <v>0.272727272727273</v>
      </c>
      <c r="M11" s="60" t="n">
        <v>0.0136986301369863</v>
      </c>
      <c r="N11" s="55" t="n">
        <v>0.2</v>
      </c>
      <c r="O11" s="60" t="n">
        <v>0.121457489878543</v>
      </c>
      <c r="P11" s="40"/>
      <c r="R11" s="50"/>
    </row>
    <row r="12" customFormat="false" ht="12.75" hidden="false" customHeight="false" outlineLevel="0" collapsed="false">
      <c r="A12" s="39" t="n">
        <v>9</v>
      </c>
      <c r="B12" s="55" t="n">
        <v>0.0649762282091918</v>
      </c>
      <c r="C12" s="56" t="n">
        <v>0.170212765957447</v>
      </c>
      <c r="D12" s="55" t="n">
        <v>0.0177890724269377</v>
      </c>
      <c r="E12" s="56" t="n">
        <v>0.141791044776119</v>
      </c>
      <c r="F12" s="55" t="n">
        <v>0.00469483568075117</v>
      </c>
      <c r="G12" s="56" t="n">
        <v>0.0950413223140496</v>
      </c>
      <c r="H12" s="55" t="n">
        <v>0</v>
      </c>
      <c r="I12" s="60" t="n">
        <v>0.25</v>
      </c>
      <c r="J12" s="55" t="n">
        <v>0.0306122448979592</v>
      </c>
      <c r="K12" s="60" t="n">
        <v>0.0511627906976744</v>
      </c>
      <c r="L12" s="55" t="n">
        <v>0</v>
      </c>
      <c r="M12" s="60" t="n">
        <v>0.0104754230459307</v>
      </c>
      <c r="N12" s="55" t="n">
        <v>0</v>
      </c>
      <c r="O12" s="60" t="n">
        <v>0.101214574898785</v>
      </c>
      <c r="P12" s="40"/>
      <c r="R12" s="50"/>
    </row>
    <row r="13" customFormat="false" ht="12.75" hidden="false" customHeight="false" outlineLevel="0" collapsed="false">
      <c r="A13" s="39" t="n">
        <v>10</v>
      </c>
      <c r="B13" s="55" t="n">
        <v>0.0839936608557845</v>
      </c>
      <c r="C13" s="56" t="n">
        <v>0.170212765957447</v>
      </c>
      <c r="D13" s="55" t="n">
        <v>0.0254129606099111</v>
      </c>
      <c r="E13" s="56" t="n">
        <v>0.0895522388059701</v>
      </c>
      <c r="F13" s="55" t="n">
        <v>0</v>
      </c>
      <c r="G13" s="56" t="n">
        <v>0.0578512396694215</v>
      </c>
      <c r="H13" s="55" t="n">
        <v>0.666666666666667</v>
      </c>
      <c r="I13" s="60" t="n">
        <v>0.0833333333333333</v>
      </c>
      <c r="J13" s="55" t="n">
        <v>0.0102040816326531</v>
      </c>
      <c r="K13" s="60" t="n">
        <v>0.0511627906976744</v>
      </c>
      <c r="L13" s="55" t="n">
        <v>0</v>
      </c>
      <c r="M13" s="60" t="n">
        <v>0.0112812248186946</v>
      </c>
      <c r="N13" s="55" t="n">
        <v>0.2</v>
      </c>
      <c r="O13" s="60" t="n">
        <v>0.097165991902834</v>
      </c>
      <c r="P13" s="40"/>
      <c r="R13" s="50"/>
    </row>
    <row r="14" customFormat="false" ht="12.75" hidden="false" customHeight="false" outlineLevel="0" collapsed="false">
      <c r="A14" s="39" t="n">
        <v>11</v>
      </c>
      <c r="B14" s="55" t="n">
        <v>0.0602218700475436</v>
      </c>
      <c r="C14" s="56" t="n">
        <v>0.0212765957446809</v>
      </c>
      <c r="D14" s="55" t="n">
        <v>0.0254129606099111</v>
      </c>
      <c r="E14" s="56" t="n">
        <v>0.134328358208955</v>
      </c>
      <c r="F14" s="55" t="n">
        <v>0.00469483568075117</v>
      </c>
      <c r="G14" s="56" t="n">
        <v>0.0371900826446281</v>
      </c>
      <c r="H14" s="55" t="n">
        <v>0</v>
      </c>
      <c r="I14" s="60" t="n">
        <v>0.0833333333333333</v>
      </c>
      <c r="J14" s="55" t="n">
        <v>0</v>
      </c>
      <c r="K14" s="60" t="n">
        <v>0.0465116279069767</v>
      </c>
      <c r="L14" s="55" t="n">
        <v>0</v>
      </c>
      <c r="M14" s="60" t="n">
        <v>0.0040290088638195</v>
      </c>
      <c r="N14" s="55" t="n">
        <v>0</v>
      </c>
      <c r="O14" s="60" t="n">
        <v>0.0526315789473684</v>
      </c>
      <c r="P14" s="40"/>
      <c r="R14" s="50"/>
    </row>
    <row r="15" customFormat="false" ht="12.75" hidden="false" customHeight="false" outlineLevel="0" collapsed="false">
      <c r="A15" s="39" t="n">
        <v>12</v>
      </c>
      <c r="B15" s="55" t="n">
        <v>0.0618066561014263</v>
      </c>
      <c r="C15" s="56" t="n">
        <v>0.0212765957446809</v>
      </c>
      <c r="D15" s="55" t="n">
        <v>0.0330368487928844</v>
      </c>
      <c r="E15" s="56" t="n">
        <v>0.0746268656716418</v>
      </c>
      <c r="F15" s="55" t="n">
        <v>0.0187793427230047</v>
      </c>
      <c r="G15" s="56" t="n">
        <v>0.0495867768595041</v>
      </c>
      <c r="H15" s="55" t="n">
        <v>0</v>
      </c>
      <c r="I15" s="60" t="n">
        <v>0.166666666666667</v>
      </c>
      <c r="J15" s="55" t="n">
        <v>0.0204081632653061</v>
      </c>
      <c r="K15" s="60" t="n">
        <v>0.0790697674418605</v>
      </c>
      <c r="L15" s="55" t="n">
        <v>0.0909090909090909</v>
      </c>
      <c r="M15" s="60" t="n">
        <v>0.0112812248186946</v>
      </c>
      <c r="N15" s="55" t="n">
        <v>0</v>
      </c>
      <c r="O15" s="60" t="n">
        <v>0.0242914979757085</v>
      </c>
      <c r="P15" s="40"/>
      <c r="R15" s="50"/>
    </row>
    <row r="16" customFormat="false" ht="12.75" hidden="false" customHeight="false" outlineLevel="0" collapsed="false">
      <c r="A16" s="39" t="n">
        <v>13</v>
      </c>
      <c r="B16" s="55" t="n">
        <v>0.0554675118858954</v>
      </c>
      <c r="C16" s="56" t="n">
        <v>0.0425531914893617</v>
      </c>
      <c r="D16" s="55" t="n">
        <v>0.0508259212198221</v>
      </c>
      <c r="E16" s="56" t="n">
        <v>0.0373134328358209</v>
      </c>
      <c r="F16" s="55" t="n">
        <v>0.0657276995305164</v>
      </c>
      <c r="G16" s="56" t="n">
        <v>0.0413223140495868</v>
      </c>
      <c r="H16" s="55" t="n">
        <v>0</v>
      </c>
      <c r="I16" s="60" t="n">
        <v>0.0833333333333333</v>
      </c>
      <c r="J16" s="55" t="n">
        <v>0.0102040816326531</v>
      </c>
      <c r="K16" s="60" t="n">
        <v>0.0558139534883721</v>
      </c>
      <c r="L16" s="55" t="n">
        <v>0.0909090909090909</v>
      </c>
      <c r="M16" s="60" t="n">
        <v>0.0016116035455278</v>
      </c>
      <c r="N16" s="55" t="n">
        <v>0</v>
      </c>
      <c r="O16" s="60" t="n">
        <v>0.0404858299595142</v>
      </c>
      <c r="P16" s="40"/>
      <c r="R16" s="50"/>
    </row>
    <row r="17" customFormat="false" ht="12.75" hidden="false" customHeight="false" outlineLevel="0" collapsed="false">
      <c r="A17" s="39" t="n">
        <v>14</v>
      </c>
      <c r="B17" s="55" t="n">
        <v>0.0396196513470681</v>
      </c>
      <c r="C17" s="56" t="n">
        <v>0.0638297872340426</v>
      </c>
      <c r="D17" s="55" t="n">
        <v>0.0635324015247776</v>
      </c>
      <c r="E17" s="56" t="n">
        <v>0.0671641791044776</v>
      </c>
      <c r="F17" s="55" t="n">
        <v>0.131455399061033</v>
      </c>
      <c r="G17" s="56" t="n">
        <v>0.0371900826446281</v>
      </c>
      <c r="H17" s="55" t="n">
        <v>0</v>
      </c>
      <c r="I17" s="60" t="n">
        <v>0</v>
      </c>
      <c r="J17" s="55" t="n">
        <v>0.0204081632653061</v>
      </c>
      <c r="K17" s="60" t="n">
        <v>0.0558139534883721</v>
      </c>
      <c r="L17" s="55" t="n">
        <v>0</v>
      </c>
      <c r="M17" s="60" t="n">
        <v>0.0024174053182917</v>
      </c>
      <c r="N17" s="55" t="n">
        <v>0</v>
      </c>
      <c r="O17" s="60" t="n">
        <v>0</v>
      </c>
      <c r="P17" s="40"/>
      <c r="R17" s="50"/>
    </row>
    <row r="18" customFormat="false" ht="12.75" hidden="false" customHeight="false" outlineLevel="0" collapsed="false">
      <c r="A18" s="39" t="n">
        <v>15</v>
      </c>
      <c r="B18" s="55" t="n">
        <v>0.0253565768621236</v>
      </c>
      <c r="C18" s="56" t="n">
        <v>0</v>
      </c>
      <c r="D18" s="55" t="n">
        <v>0.0520965692503177</v>
      </c>
      <c r="E18" s="56" t="n">
        <v>0.0522388059701493</v>
      </c>
      <c r="F18" s="55" t="n">
        <v>0.169014084507042</v>
      </c>
      <c r="G18" s="56" t="n">
        <v>0.0289256198347107</v>
      </c>
      <c r="H18" s="55" t="n">
        <v>0</v>
      </c>
      <c r="I18" s="60" t="n">
        <v>0</v>
      </c>
      <c r="J18" s="55" t="n">
        <v>0.0306122448979592</v>
      </c>
      <c r="K18" s="60" t="n">
        <v>0.0604651162790698</v>
      </c>
      <c r="L18" s="55" t="n">
        <v>0</v>
      </c>
      <c r="M18" s="60" t="n">
        <v>0.0008058017727639</v>
      </c>
      <c r="N18" s="55" t="n">
        <v>0</v>
      </c>
      <c r="O18" s="60" t="n">
        <v>0.0202429149797571</v>
      </c>
      <c r="P18" s="40"/>
      <c r="R18" s="50"/>
    </row>
    <row r="19" customFormat="false" ht="12.75" hidden="false" customHeight="false" outlineLevel="0" collapsed="false">
      <c r="A19" s="39" t="n">
        <v>16</v>
      </c>
      <c r="B19" s="55" t="n">
        <v>0.0190174326465927</v>
      </c>
      <c r="C19" s="56" t="n">
        <v>0</v>
      </c>
      <c r="D19" s="55" t="n">
        <v>0.0622617534942821</v>
      </c>
      <c r="E19" s="56" t="n">
        <v>0.00746268656716418</v>
      </c>
      <c r="F19" s="55" t="n">
        <v>0.136150234741784</v>
      </c>
      <c r="G19" s="56" t="n">
        <v>0.00826446280991736</v>
      </c>
      <c r="H19" s="55" t="n">
        <v>0</v>
      </c>
      <c r="I19" s="60" t="n">
        <v>0</v>
      </c>
      <c r="J19" s="55" t="n">
        <v>0.0408163265306122</v>
      </c>
      <c r="K19" s="60" t="n">
        <v>0.013953488372093</v>
      </c>
      <c r="L19" s="55" t="n">
        <v>0</v>
      </c>
      <c r="M19" s="60" t="n">
        <v>0</v>
      </c>
      <c r="N19" s="55" t="n">
        <v>0</v>
      </c>
      <c r="O19" s="60" t="n">
        <v>0.00404858299595142</v>
      </c>
      <c r="P19" s="40"/>
      <c r="R19" s="50"/>
    </row>
    <row r="20" customFormat="false" ht="12.75" hidden="false" customHeight="false" outlineLevel="0" collapsed="false">
      <c r="A20" s="39" t="n">
        <v>17</v>
      </c>
      <c r="B20" s="55" t="n">
        <v>0.0110935023771791</v>
      </c>
      <c r="C20" s="56" t="n">
        <v>0.0212765957446809</v>
      </c>
      <c r="D20" s="55" t="n">
        <v>0.0393900889453621</v>
      </c>
      <c r="E20" s="56" t="n">
        <v>0.0447761194029851</v>
      </c>
      <c r="F20" s="55" t="n">
        <v>0.15962441314554</v>
      </c>
      <c r="G20" s="56" t="n">
        <v>0.0289256198347107</v>
      </c>
      <c r="H20" s="55" t="n">
        <v>0</v>
      </c>
      <c r="I20" s="60" t="n">
        <v>0.0833333333333333</v>
      </c>
      <c r="J20" s="55" t="n">
        <v>0.0306122448979592</v>
      </c>
      <c r="K20" s="60" t="n">
        <v>0.0186046511627907</v>
      </c>
      <c r="L20" s="55" t="n">
        <v>0</v>
      </c>
      <c r="M20" s="60" t="n">
        <v>0</v>
      </c>
      <c r="N20" s="55" t="n">
        <v>0</v>
      </c>
      <c r="O20" s="60" t="n">
        <v>0.00809716599190283</v>
      </c>
      <c r="P20" s="40"/>
      <c r="R20" s="50"/>
    </row>
    <row r="21" customFormat="false" ht="12.75" hidden="false" customHeight="false" outlineLevel="0" collapsed="false">
      <c r="A21" s="39" t="n">
        <v>18</v>
      </c>
      <c r="B21" s="55" t="n">
        <v>0.0237717908082409</v>
      </c>
      <c r="C21" s="56" t="n">
        <v>0.0212765957446809</v>
      </c>
      <c r="D21" s="55" t="n">
        <v>0.036848792884371</v>
      </c>
      <c r="E21" s="56" t="n">
        <v>0.0149253731343284</v>
      </c>
      <c r="F21" s="55" t="n">
        <v>0.107981220657277</v>
      </c>
      <c r="G21" s="56" t="n">
        <v>0.0206611570247934</v>
      </c>
      <c r="H21" s="55" t="n">
        <v>0</v>
      </c>
      <c r="I21" s="60" t="n">
        <v>0</v>
      </c>
      <c r="J21" s="55" t="n">
        <v>0.0306122448979592</v>
      </c>
      <c r="K21" s="60" t="n">
        <v>0</v>
      </c>
      <c r="L21" s="55" t="n">
        <v>0</v>
      </c>
      <c r="M21" s="60" t="n">
        <v>0.0008058017727639</v>
      </c>
      <c r="N21" s="55" t="n">
        <v>0</v>
      </c>
      <c r="O21" s="60" t="n">
        <v>0</v>
      </c>
      <c r="P21" s="40"/>
      <c r="R21" s="50"/>
    </row>
    <row r="22" customFormat="false" ht="12.75" hidden="false" customHeight="false" outlineLevel="0" collapsed="false">
      <c r="A22" s="39" t="n">
        <v>19</v>
      </c>
      <c r="B22" s="55" t="n">
        <v>0.0126782884310618</v>
      </c>
      <c r="C22" s="56" t="n">
        <v>0.0212765957446809</v>
      </c>
      <c r="D22" s="55" t="n">
        <v>0.0266836086404066</v>
      </c>
      <c r="E22" s="56" t="n">
        <v>0.0522388059701493</v>
      </c>
      <c r="F22" s="55" t="n">
        <v>0.07981220657277</v>
      </c>
      <c r="G22" s="56" t="n">
        <v>0.00826446280991736</v>
      </c>
      <c r="H22" s="55" t="n">
        <v>0.333333333333333</v>
      </c>
      <c r="I22" s="60" t="n">
        <v>0</v>
      </c>
      <c r="J22" s="55" t="n">
        <v>0.0306122448979592</v>
      </c>
      <c r="K22" s="60" t="n">
        <v>0</v>
      </c>
      <c r="L22" s="55" t="n">
        <v>0</v>
      </c>
      <c r="M22" s="60" t="n">
        <v>0</v>
      </c>
      <c r="N22" s="55" t="n">
        <v>0</v>
      </c>
      <c r="O22" s="60" t="n">
        <v>0</v>
      </c>
      <c r="P22" s="40"/>
      <c r="R22" s="50"/>
    </row>
    <row r="23" customFormat="false" ht="12.75" hidden="false" customHeight="false" outlineLevel="0" collapsed="false">
      <c r="A23" s="39" t="n">
        <v>20</v>
      </c>
      <c r="B23" s="55" t="n">
        <v>0.0063391442155309</v>
      </c>
      <c r="C23" s="56" t="n">
        <v>0.0212765957446809</v>
      </c>
      <c r="D23" s="55" t="n">
        <v>0.0292249047013977</v>
      </c>
      <c r="E23" s="56" t="n">
        <v>0.0223880597014925</v>
      </c>
      <c r="F23" s="55" t="n">
        <v>0.0140845070422535</v>
      </c>
      <c r="G23" s="56" t="n">
        <v>0.012396694214876</v>
      </c>
      <c r="H23" s="55" t="n">
        <v>0</v>
      </c>
      <c r="I23" s="60" t="n">
        <v>0</v>
      </c>
      <c r="J23" s="55" t="n">
        <v>0.0714285714285714</v>
      </c>
      <c r="K23" s="60" t="n">
        <v>0</v>
      </c>
      <c r="L23" s="55" t="n">
        <v>0</v>
      </c>
      <c r="M23" s="60" t="n">
        <v>0</v>
      </c>
      <c r="N23" s="55" t="n">
        <v>0</v>
      </c>
      <c r="O23" s="60" t="n">
        <v>0</v>
      </c>
      <c r="P23" s="40"/>
      <c r="R23" s="50"/>
    </row>
    <row r="24" customFormat="false" ht="12.75" hidden="false" customHeight="false" outlineLevel="0" collapsed="false">
      <c r="A24" s="39" t="n">
        <v>21</v>
      </c>
      <c r="B24" s="55" t="n">
        <v>0.0253565768621236</v>
      </c>
      <c r="C24" s="56" t="n">
        <v>0.0425531914893617</v>
      </c>
      <c r="D24" s="55" t="n">
        <v>0.0330368487928844</v>
      </c>
      <c r="E24" s="56" t="n">
        <v>0.0223880597014925</v>
      </c>
      <c r="F24" s="55" t="n">
        <v>0.0328638497652582</v>
      </c>
      <c r="G24" s="56" t="n">
        <v>0.00826446280991736</v>
      </c>
      <c r="H24" s="55" t="n">
        <v>0</v>
      </c>
      <c r="I24" s="60" t="n">
        <v>0.0833333333333333</v>
      </c>
      <c r="J24" s="55" t="n">
        <v>0.0408163265306122</v>
      </c>
      <c r="K24" s="60" t="n">
        <v>0</v>
      </c>
      <c r="L24" s="55" t="n">
        <v>0</v>
      </c>
      <c r="M24" s="60" t="n">
        <v>0</v>
      </c>
      <c r="N24" s="55" t="n">
        <v>0</v>
      </c>
      <c r="O24" s="60" t="n">
        <v>0</v>
      </c>
      <c r="P24" s="40"/>
      <c r="R24" s="50"/>
    </row>
    <row r="25" customFormat="false" ht="12.75" hidden="false" customHeight="false" outlineLevel="0" collapsed="false">
      <c r="A25" s="39" t="n">
        <v>22</v>
      </c>
      <c r="B25" s="55" t="n">
        <v>0.0475435816164818</v>
      </c>
      <c r="C25" s="56" t="n">
        <v>0</v>
      </c>
      <c r="D25" s="55" t="n">
        <v>0.0266836086404066</v>
      </c>
      <c r="E25" s="56" t="n">
        <v>0</v>
      </c>
      <c r="F25" s="55" t="n">
        <v>0.00938967136150235</v>
      </c>
      <c r="G25" s="56" t="n">
        <v>0</v>
      </c>
      <c r="H25" s="55" t="n">
        <v>0</v>
      </c>
      <c r="I25" s="60" t="n">
        <v>0</v>
      </c>
      <c r="J25" s="55" t="n">
        <v>0.0306122448979592</v>
      </c>
      <c r="K25" s="60" t="n">
        <v>0</v>
      </c>
      <c r="L25" s="55" t="n">
        <v>0</v>
      </c>
      <c r="M25" s="60" t="n">
        <v>0</v>
      </c>
      <c r="N25" s="55" t="n">
        <v>0</v>
      </c>
      <c r="O25" s="60" t="n">
        <v>0</v>
      </c>
      <c r="P25" s="40"/>
      <c r="R25" s="50"/>
    </row>
    <row r="26" customFormat="false" ht="12.75" hidden="false" customHeight="false" outlineLevel="0" collapsed="false">
      <c r="A26" s="39" t="n">
        <v>23</v>
      </c>
      <c r="B26" s="55" t="n">
        <v>0.0459587955625991</v>
      </c>
      <c r="C26" s="56" t="n">
        <v>0</v>
      </c>
      <c r="D26" s="55" t="n">
        <v>0.0241423125794155</v>
      </c>
      <c r="E26" s="56" t="n">
        <v>0.00746268656716418</v>
      </c>
      <c r="F26" s="55" t="n">
        <v>0.00938967136150235</v>
      </c>
      <c r="G26" s="56" t="n">
        <v>0.00826446280991736</v>
      </c>
      <c r="H26" s="55" t="n">
        <v>0</v>
      </c>
      <c r="I26" s="60" t="n">
        <v>0</v>
      </c>
      <c r="J26" s="55" t="n">
        <v>0.0408163265306122</v>
      </c>
      <c r="K26" s="60" t="n">
        <v>0</v>
      </c>
      <c r="L26" s="55" t="n">
        <v>0</v>
      </c>
      <c r="M26" s="60" t="n">
        <v>0</v>
      </c>
      <c r="N26" s="55" t="n">
        <v>0</v>
      </c>
      <c r="O26" s="60" t="n">
        <v>0</v>
      </c>
      <c r="P26" s="40"/>
      <c r="R26" s="50"/>
    </row>
    <row r="27" customFormat="false" ht="12.75" hidden="false" customHeight="false" outlineLevel="0" collapsed="false">
      <c r="A27" s="39" t="n">
        <v>24</v>
      </c>
      <c r="B27" s="55" t="n">
        <v>0.0427892234548336</v>
      </c>
      <c r="C27" s="56" t="n">
        <v>0</v>
      </c>
      <c r="D27" s="55" t="n">
        <v>0.0584498094027954</v>
      </c>
      <c r="E27" s="56" t="n">
        <v>0.00746268656716418</v>
      </c>
      <c r="F27" s="55" t="n">
        <v>0.00469483568075117</v>
      </c>
      <c r="G27" s="56" t="n">
        <v>0</v>
      </c>
      <c r="H27" s="55" t="n">
        <v>0</v>
      </c>
      <c r="I27" s="60" t="n">
        <v>0</v>
      </c>
      <c r="J27" s="55" t="n">
        <v>0.0204081632653061</v>
      </c>
      <c r="K27" s="60" t="n">
        <v>0</v>
      </c>
      <c r="L27" s="55" t="n">
        <v>0</v>
      </c>
      <c r="M27" s="60" t="n">
        <v>0</v>
      </c>
      <c r="N27" s="55" t="n">
        <v>0</v>
      </c>
      <c r="O27" s="60" t="n">
        <v>0</v>
      </c>
      <c r="P27" s="40"/>
      <c r="R27" s="50"/>
    </row>
    <row r="28" customFormat="false" ht="12.75" hidden="false" customHeight="false" outlineLevel="0" collapsed="false">
      <c r="A28" s="39" t="n">
        <v>25</v>
      </c>
      <c r="B28" s="55" t="n">
        <v>0.0443740095087163</v>
      </c>
      <c r="C28" s="56" t="n">
        <v>0</v>
      </c>
      <c r="D28" s="55" t="n">
        <v>0.0635324015247776</v>
      </c>
      <c r="E28" s="56" t="n">
        <v>0</v>
      </c>
      <c r="F28" s="55" t="n">
        <v>0.00469483568075117</v>
      </c>
      <c r="G28" s="56" t="n">
        <v>0</v>
      </c>
      <c r="H28" s="55" t="n">
        <v>0</v>
      </c>
      <c r="I28" s="60" t="n">
        <v>0</v>
      </c>
      <c r="J28" s="55" t="n">
        <v>0.0306122448979592</v>
      </c>
      <c r="K28" s="60" t="n">
        <v>0</v>
      </c>
      <c r="L28" s="55" t="n">
        <v>0</v>
      </c>
      <c r="M28" s="60" t="n">
        <v>0</v>
      </c>
      <c r="N28" s="55" t="n">
        <v>0</v>
      </c>
      <c r="O28" s="60" t="n">
        <v>0</v>
      </c>
      <c r="P28" s="40"/>
      <c r="R28" s="50"/>
    </row>
    <row r="29" customFormat="false" ht="12.75" hidden="false" customHeight="false" outlineLevel="0" collapsed="false">
      <c r="A29" s="39" t="n">
        <v>26</v>
      </c>
      <c r="B29" s="55" t="n">
        <v>0.0190174326465927</v>
      </c>
      <c r="C29" s="56" t="n">
        <v>0</v>
      </c>
      <c r="D29" s="55" t="n">
        <v>0.0660736975857687</v>
      </c>
      <c r="E29" s="56" t="n">
        <v>0</v>
      </c>
      <c r="F29" s="55" t="n">
        <v>0.00469483568075117</v>
      </c>
      <c r="G29" s="56" t="n">
        <v>0.00413223140495868</v>
      </c>
      <c r="H29" s="55" t="n">
        <v>0</v>
      </c>
      <c r="I29" s="60" t="n">
        <v>0</v>
      </c>
      <c r="J29" s="55" t="n">
        <v>0.0408163265306122</v>
      </c>
      <c r="K29" s="60" t="n">
        <v>0</v>
      </c>
      <c r="L29" s="55" t="n">
        <v>0</v>
      </c>
      <c r="M29" s="60" t="n">
        <v>0</v>
      </c>
      <c r="N29" s="55" t="n">
        <v>0</v>
      </c>
      <c r="O29" s="60" t="n">
        <v>0</v>
      </c>
      <c r="P29" s="40"/>
      <c r="R29" s="50"/>
    </row>
    <row r="30" customFormat="false" ht="12.75" hidden="false" customHeight="false" outlineLevel="0" collapsed="false">
      <c r="A30" s="39" t="n">
        <v>27</v>
      </c>
      <c r="B30" s="55" t="n">
        <v>0.0126782884310618</v>
      </c>
      <c r="C30" s="56" t="n">
        <v>0</v>
      </c>
      <c r="D30" s="55" t="n">
        <v>0.0825921219822109</v>
      </c>
      <c r="E30" s="56" t="n">
        <v>0</v>
      </c>
      <c r="F30" s="55" t="n">
        <v>0.00469483568075117</v>
      </c>
      <c r="G30" s="56" t="n">
        <v>0</v>
      </c>
      <c r="H30" s="55" t="n">
        <v>0</v>
      </c>
      <c r="I30" s="60" t="n">
        <v>0</v>
      </c>
      <c r="J30" s="55" t="n">
        <v>0.0204081632653061</v>
      </c>
      <c r="K30" s="60" t="n">
        <v>0</v>
      </c>
      <c r="L30" s="55" t="n">
        <v>0</v>
      </c>
      <c r="M30" s="60" t="n">
        <v>0</v>
      </c>
      <c r="N30" s="55" t="n">
        <v>0</v>
      </c>
      <c r="O30" s="60" t="n">
        <v>0</v>
      </c>
      <c r="P30" s="40"/>
      <c r="R30" s="50"/>
    </row>
    <row r="31" customFormat="false" ht="12.75" hidden="false" customHeight="false" outlineLevel="0" collapsed="false">
      <c r="A31" s="39" t="n">
        <v>28</v>
      </c>
      <c r="B31" s="55" t="n">
        <v>0.00316957210776545</v>
      </c>
      <c r="C31" s="56" t="n">
        <v>0</v>
      </c>
      <c r="D31" s="55" t="n">
        <v>0.0533672172808132</v>
      </c>
      <c r="E31" s="56" t="n">
        <v>0</v>
      </c>
      <c r="F31" s="55" t="n">
        <v>0.00469483568075117</v>
      </c>
      <c r="G31" s="56" t="n">
        <v>0</v>
      </c>
      <c r="H31" s="55" t="n">
        <v>0</v>
      </c>
      <c r="I31" s="60" t="n">
        <v>0</v>
      </c>
      <c r="J31" s="55" t="n">
        <v>0.0306122448979592</v>
      </c>
      <c r="K31" s="60" t="n">
        <v>0</v>
      </c>
      <c r="L31" s="55" t="n">
        <v>0</v>
      </c>
      <c r="M31" s="60" t="n">
        <v>0</v>
      </c>
      <c r="N31" s="55" t="n">
        <v>0</v>
      </c>
      <c r="O31" s="60" t="n">
        <v>0</v>
      </c>
      <c r="P31" s="40"/>
      <c r="R31" s="50"/>
    </row>
    <row r="32" customFormat="false" ht="12.75" hidden="false" customHeight="false" outlineLevel="0" collapsed="false">
      <c r="A32" s="39" t="n">
        <v>29</v>
      </c>
      <c r="B32" s="55" t="n">
        <v>0.00158478605388273</v>
      </c>
      <c r="C32" s="56" t="n">
        <v>0</v>
      </c>
      <c r="D32" s="55" t="n">
        <v>0.0495552731893266</v>
      </c>
      <c r="E32" s="56" t="n">
        <v>0</v>
      </c>
      <c r="F32" s="55" t="n">
        <v>0.00938967136150235</v>
      </c>
      <c r="G32" s="56" t="n">
        <v>0</v>
      </c>
      <c r="H32" s="55" t="n">
        <v>0</v>
      </c>
      <c r="I32" s="60" t="n">
        <v>0</v>
      </c>
      <c r="J32" s="55" t="n">
        <v>0.0204081632653061</v>
      </c>
      <c r="K32" s="60" t="n">
        <v>0</v>
      </c>
      <c r="L32" s="55" t="n">
        <v>0</v>
      </c>
      <c r="M32" s="60" t="n">
        <v>0</v>
      </c>
      <c r="N32" s="55" t="n">
        <v>0</v>
      </c>
      <c r="O32" s="60" t="n">
        <v>0</v>
      </c>
      <c r="P32" s="40"/>
      <c r="R32" s="50"/>
    </row>
    <row r="33" customFormat="false" ht="12.75" hidden="false" customHeight="false" outlineLevel="0" collapsed="false">
      <c r="A33" s="39" t="n">
        <v>30</v>
      </c>
      <c r="B33" s="55" t="n">
        <v>0</v>
      </c>
      <c r="C33" s="56" t="n">
        <v>0</v>
      </c>
      <c r="D33" s="55" t="n">
        <v>0.0355781448538755</v>
      </c>
      <c r="E33" s="56" t="n">
        <v>0</v>
      </c>
      <c r="F33" s="55" t="n">
        <v>0.00938967136150235</v>
      </c>
      <c r="G33" s="56" t="n">
        <v>0</v>
      </c>
      <c r="H33" s="55" t="n">
        <v>0</v>
      </c>
      <c r="I33" s="60" t="n">
        <v>0</v>
      </c>
      <c r="J33" s="55" t="n">
        <v>0.0306122448979592</v>
      </c>
      <c r="K33" s="60" t="n">
        <v>0</v>
      </c>
      <c r="L33" s="55" t="n">
        <v>0</v>
      </c>
      <c r="M33" s="60" t="n">
        <v>0</v>
      </c>
      <c r="N33" s="55" t="n">
        <v>0</v>
      </c>
      <c r="O33" s="60" t="n">
        <v>0</v>
      </c>
      <c r="P33" s="40"/>
      <c r="R33" s="50"/>
    </row>
    <row r="34" customFormat="false" ht="12.75" hidden="false" customHeight="false" outlineLevel="0" collapsed="false">
      <c r="A34" s="39" t="n">
        <v>31</v>
      </c>
      <c r="B34" s="55" t="n">
        <v>0</v>
      </c>
      <c r="C34" s="56" t="n">
        <v>0</v>
      </c>
      <c r="D34" s="55" t="n">
        <v>0.0177890724269377</v>
      </c>
      <c r="E34" s="56" t="n">
        <v>0</v>
      </c>
      <c r="F34" s="55" t="n">
        <v>0</v>
      </c>
      <c r="G34" s="56" t="n">
        <v>0</v>
      </c>
      <c r="H34" s="55" t="n">
        <v>0</v>
      </c>
      <c r="I34" s="60" t="n">
        <v>0</v>
      </c>
      <c r="J34" s="55" t="n">
        <v>0</v>
      </c>
      <c r="K34" s="60" t="n">
        <v>0</v>
      </c>
      <c r="L34" s="55" t="n">
        <v>0</v>
      </c>
      <c r="M34" s="60" t="n">
        <v>0</v>
      </c>
      <c r="N34" s="55" t="n">
        <v>0</v>
      </c>
      <c r="O34" s="60" t="n">
        <v>0</v>
      </c>
      <c r="P34" s="40"/>
      <c r="R34" s="50"/>
    </row>
    <row r="35" customFormat="false" ht="12.75" hidden="false" customHeight="false" outlineLevel="0" collapsed="false">
      <c r="A35" s="39" t="n">
        <v>32</v>
      </c>
      <c r="B35" s="55" t="n">
        <v>0</v>
      </c>
      <c r="C35" s="56" t="n">
        <v>0</v>
      </c>
      <c r="D35" s="55" t="n">
        <v>0.00508259212198221</v>
      </c>
      <c r="E35" s="56" t="n">
        <v>0</v>
      </c>
      <c r="F35" s="55" t="n">
        <v>0</v>
      </c>
      <c r="G35" s="56" t="n">
        <v>0</v>
      </c>
      <c r="H35" s="55" t="n">
        <v>0</v>
      </c>
      <c r="I35" s="60" t="n">
        <v>0</v>
      </c>
      <c r="J35" s="55" t="n">
        <v>0.0102040816326531</v>
      </c>
      <c r="K35" s="60" t="n">
        <v>0</v>
      </c>
      <c r="L35" s="55" t="n">
        <v>0</v>
      </c>
      <c r="M35" s="60" t="n">
        <v>0</v>
      </c>
      <c r="N35" s="55" t="n">
        <v>0</v>
      </c>
      <c r="O35" s="56" t="n">
        <v>0</v>
      </c>
      <c r="P35" s="40"/>
      <c r="R35" s="50"/>
    </row>
    <row r="36" customFormat="false" ht="12.75" hidden="false" customHeight="false" outlineLevel="0" collapsed="false">
      <c r="A36" s="39" t="n">
        <v>33</v>
      </c>
      <c r="B36" s="55" t="n">
        <v>0</v>
      </c>
      <c r="C36" s="56" t="n">
        <v>0</v>
      </c>
      <c r="D36" s="55" t="n">
        <v>0.00508259212198221</v>
      </c>
      <c r="E36" s="56" t="n">
        <v>0</v>
      </c>
      <c r="F36" s="55" t="n">
        <v>0</v>
      </c>
      <c r="G36" s="56" t="n">
        <v>0</v>
      </c>
      <c r="H36" s="55" t="n">
        <v>0</v>
      </c>
      <c r="I36" s="60" t="n">
        <v>0</v>
      </c>
      <c r="J36" s="55" t="n">
        <v>0</v>
      </c>
      <c r="K36" s="60" t="n">
        <v>0</v>
      </c>
      <c r="L36" s="55" t="n">
        <v>0</v>
      </c>
      <c r="M36" s="60" t="n">
        <v>0</v>
      </c>
      <c r="N36" s="55" t="n">
        <v>0</v>
      </c>
      <c r="O36" s="56" t="n">
        <v>0</v>
      </c>
      <c r="P36" s="40"/>
      <c r="R36" s="50"/>
    </row>
    <row r="37" customFormat="false" ht="12.75" hidden="false" customHeight="false" outlineLevel="0" collapsed="false">
      <c r="A37" s="39" t="n">
        <v>34</v>
      </c>
      <c r="B37" s="55" t="n">
        <v>0</v>
      </c>
      <c r="C37" s="56" t="n">
        <v>0</v>
      </c>
      <c r="D37" s="55" t="n">
        <v>0.00254129606099111</v>
      </c>
      <c r="E37" s="56" t="n">
        <v>0</v>
      </c>
      <c r="F37" s="55" t="n">
        <v>0</v>
      </c>
      <c r="G37" s="56" t="n">
        <v>0</v>
      </c>
      <c r="H37" s="55" t="n">
        <v>0</v>
      </c>
      <c r="I37" s="60" t="n">
        <v>0</v>
      </c>
      <c r="J37" s="55" t="n">
        <v>0</v>
      </c>
      <c r="K37" s="60" t="n">
        <v>0</v>
      </c>
      <c r="L37" s="55" t="n">
        <v>0</v>
      </c>
      <c r="M37" s="60" t="n">
        <v>0</v>
      </c>
      <c r="N37" s="55" t="n">
        <v>0</v>
      </c>
      <c r="O37" s="56" t="n">
        <v>0</v>
      </c>
      <c r="P37" s="40"/>
      <c r="R37" s="50"/>
    </row>
    <row r="38" customFormat="false" ht="12.75" hidden="false" customHeight="false" outlineLevel="0" collapsed="false">
      <c r="A38" s="39" t="n">
        <v>35</v>
      </c>
      <c r="B38" s="55" t="n">
        <v>0</v>
      </c>
      <c r="C38" s="56" t="n">
        <v>0</v>
      </c>
      <c r="D38" s="55" t="n">
        <v>0</v>
      </c>
      <c r="E38" s="56" t="n">
        <v>0</v>
      </c>
      <c r="F38" s="55" t="n">
        <v>0</v>
      </c>
      <c r="G38" s="56" t="n">
        <v>0</v>
      </c>
      <c r="H38" s="55" t="n">
        <v>0</v>
      </c>
      <c r="I38" s="60" t="n">
        <v>0</v>
      </c>
      <c r="J38" s="55" t="n">
        <v>0</v>
      </c>
      <c r="K38" s="60" t="n">
        <v>0</v>
      </c>
      <c r="L38" s="55" t="n">
        <v>0</v>
      </c>
      <c r="M38" s="60" t="n">
        <v>0</v>
      </c>
      <c r="N38" s="55" t="n">
        <v>0</v>
      </c>
      <c r="O38" s="56" t="n">
        <v>0</v>
      </c>
      <c r="R38" s="50"/>
    </row>
    <row r="39" customFormat="false" ht="12.75" hidden="false" customHeight="false" outlineLevel="0" collapsed="false">
      <c r="A39" s="39" t="n">
        <v>36</v>
      </c>
      <c r="B39" s="55" t="n">
        <v>0</v>
      </c>
      <c r="C39" s="56" t="n">
        <v>0</v>
      </c>
      <c r="D39" s="55" t="n">
        <v>0.00127064803049555</v>
      </c>
      <c r="E39" s="56" t="n">
        <v>0</v>
      </c>
      <c r="F39" s="61" t="n">
        <v>0</v>
      </c>
      <c r="G39" s="56" t="n">
        <v>0</v>
      </c>
      <c r="H39" s="61" t="n">
        <v>0</v>
      </c>
      <c r="I39" s="60" t="n">
        <v>0</v>
      </c>
      <c r="J39" s="61" t="n">
        <v>0</v>
      </c>
      <c r="K39" s="60" t="n">
        <v>0</v>
      </c>
      <c r="L39" s="61" t="n">
        <v>0</v>
      </c>
      <c r="M39" s="60" t="n">
        <v>0</v>
      </c>
      <c r="N39" s="61" t="n">
        <v>0</v>
      </c>
      <c r="O39" s="62" t="n">
        <v>0</v>
      </c>
      <c r="R39" s="50"/>
    </row>
    <row r="40" customFormat="false" ht="12.75" hidden="false" customHeight="false" outlineLevel="0" collapsed="false">
      <c r="A40" s="48" t="s">
        <v>272</v>
      </c>
      <c r="B40" s="63" t="n">
        <f aca="false">SUM(B5:B39)</f>
        <v>1</v>
      </c>
      <c r="C40" s="63" t="n">
        <f aca="false">SUM(C5:C39)</f>
        <v>1</v>
      </c>
      <c r="D40" s="63" t="n">
        <f aca="false">SUM(D5:D39)</f>
        <v>1</v>
      </c>
      <c r="E40" s="63" t="n">
        <f aca="false">SUM(E5:E39)</f>
        <v>0.999999999999999</v>
      </c>
      <c r="F40" s="63" t="n">
        <f aca="false">SUM(F5:F39)</f>
        <v>1</v>
      </c>
      <c r="G40" s="63" t="n">
        <f aca="false">SUM(G5:G39)</f>
        <v>1</v>
      </c>
      <c r="H40" s="63" t="n">
        <f aca="false">SUM(H5:H39)</f>
        <v>1</v>
      </c>
      <c r="I40" s="63" t="n">
        <f aca="false">SUM(I5:I39)</f>
        <v>1</v>
      </c>
      <c r="J40" s="63" t="n">
        <f aca="false">SUM(J5:J39)</f>
        <v>1</v>
      </c>
      <c r="K40" s="63" t="n">
        <f aca="false">SUM(K5:K39)</f>
        <v>1</v>
      </c>
      <c r="L40" s="63" t="n">
        <f aca="false">SUM(L5:L39)</f>
        <v>1</v>
      </c>
      <c r="M40" s="63" t="n">
        <f aca="false">SUM(M5:M39)</f>
        <v>1</v>
      </c>
      <c r="N40" s="63" t="n">
        <f aca="false">SUM(N5:N39)</f>
        <v>1</v>
      </c>
      <c r="O40" s="63" t="n">
        <f aca="false">SUM(O5:O39)</f>
        <v>1</v>
      </c>
      <c r="P40" s="40"/>
    </row>
  </sheetData>
  <mergeCells count="8">
    <mergeCell ref="A3:A4"/>
    <mergeCell ref="B3:C3"/>
    <mergeCell ref="D3:E3"/>
    <mergeCell ref="F3:G3"/>
    <mergeCell ref="H3:I3"/>
    <mergeCell ref="J3:K3"/>
    <mergeCell ref="L3:M3"/>
    <mergeCell ref="N3:O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D16" activeCellId="0" sqref="AD16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2" min="2" style="1" width="10.29"/>
    <col collapsed="false" customWidth="true" hidden="false" outlineLevel="0" max="3" min="3" style="64" width="9.41"/>
    <col collapsed="false" customWidth="true" hidden="false" outlineLevel="0" max="4" min="4" style="1" width="10.29"/>
    <col collapsed="false" customWidth="true" hidden="false" outlineLevel="0" max="5" min="5" style="64" width="8.85"/>
    <col collapsed="false" customWidth="true" hidden="false" outlineLevel="0" max="6" min="6" style="1" width="10.29"/>
    <col collapsed="false" customWidth="true" hidden="false" outlineLevel="0" max="7" min="7" style="64" width="9.41"/>
    <col collapsed="false" customWidth="true" hidden="false" outlineLevel="0" max="8" min="8" style="1" width="10.29"/>
    <col collapsed="false" customWidth="true" hidden="false" outlineLevel="0" max="9" min="9" style="64" width="10.59"/>
    <col collapsed="false" customWidth="true" hidden="false" outlineLevel="0" max="10" min="10" style="1" width="10.29"/>
    <col collapsed="false" customWidth="true" hidden="false" outlineLevel="0" max="11" min="11" style="64" width="9.41"/>
    <col collapsed="false" customWidth="true" hidden="false" outlineLevel="0" max="12" min="12" style="1" width="10.29"/>
    <col collapsed="false" customWidth="true" hidden="false" outlineLevel="0" max="13" min="13" style="64" width="10.59"/>
    <col collapsed="false" customWidth="true" hidden="false" outlineLevel="0" max="15" min="15" style="64" width="9.41"/>
    <col collapsed="false" customWidth="true" hidden="false" outlineLevel="0" max="17" min="17" style="64" width="10.59"/>
    <col collapsed="false" customWidth="true" hidden="false" outlineLevel="0" max="19" min="19" style="64" width="8.85"/>
    <col collapsed="false" customWidth="true" hidden="false" outlineLevel="0" max="21" min="21" style="64" width="8.85"/>
    <col collapsed="false" customWidth="true" hidden="false" outlineLevel="0" max="23" min="23" style="64" width="8.85"/>
    <col collapsed="false" customWidth="true" hidden="false" outlineLevel="0" max="29" min="29" style="1" width="10.59"/>
    <col collapsed="false" customWidth="true" hidden="false" outlineLevel="0" max="30" min="30" style="1" width="15.28"/>
  </cols>
  <sheetData>
    <row r="1" customFormat="false" ht="12.75" hidden="false" customHeight="false" outlineLevel="0" collapsed="false">
      <c r="A1" s="1" t="s">
        <v>276</v>
      </c>
    </row>
    <row r="2" customFormat="false" ht="12.75" hidden="false" customHeight="false" outlineLevel="0" collapsed="false">
      <c r="B2" s="65" t="s">
        <v>277</v>
      </c>
    </row>
    <row r="3" customFormat="false" ht="12.75" hidden="false" customHeight="false" outlineLevel="0" collapsed="false">
      <c r="A3" s="66" t="s">
        <v>278</v>
      </c>
      <c r="B3" s="66" t="s">
        <v>86</v>
      </c>
      <c r="C3" s="66"/>
      <c r="D3" s="66"/>
      <c r="E3" s="66"/>
      <c r="F3" s="67" t="s">
        <v>132</v>
      </c>
      <c r="G3" s="67"/>
      <c r="H3" s="67"/>
      <c r="I3" s="67"/>
      <c r="J3" s="66" t="s">
        <v>161</v>
      </c>
      <c r="K3" s="66"/>
      <c r="L3" s="66"/>
      <c r="M3" s="66"/>
      <c r="N3" s="66" t="s">
        <v>175</v>
      </c>
      <c r="O3" s="66"/>
      <c r="P3" s="66"/>
      <c r="Q3" s="66"/>
      <c r="R3" s="66" t="s">
        <v>188</v>
      </c>
      <c r="S3" s="66"/>
      <c r="T3" s="66"/>
      <c r="U3" s="66"/>
      <c r="V3" s="66" t="s">
        <v>223</v>
      </c>
      <c r="W3" s="66"/>
      <c r="X3" s="66"/>
      <c r="Y3" s="66"/>
      <c r="Z3" s="66" t="s">
        <v>257</v>
      </c>
      <c r="AA3" s="66"/>
      <c r="AB3" s="66"/>
      <c r="AC3" s="66"/>
    </row>
    <row r="4" customFormat="false" ht="12.75" hidden="false" customHeight="false" outlineLevel="0" collapsed="false">
      <c r="A4" s="66"/>
      <c r="B4" s="66" t="s">
        <v>279</v>
      </c>
      <c r="C4" s="66"/>
      <c r="D4" s="66" t="s">
        <v>280</v>
      </c>
      <c r="E4" s="66"/>
      <c r="F4" s="66" t="s">
        <v>279</v>
      </c>
      <c r="G4" s="66"/>
      <c r="H4" s="66" t="s">
        <v>280</v>
      </c>
      <c r="I4" s="66"/>
      <c r="J4" s="66" t="s">
        <v>279</v>
      </c>
      <c r="K4" s="66"/>
      <c r="L4" s="66" t="s">
        <v>280</v>
      </c>
      <c r="M4" s="66"/>
      <c r="N4" s="66" t="s">
        <v>279</v>
      </c>
      <c r="O4" s="66"/>
      <c r="P4" s="66" t="s">
        <v>280</v>
      </c>
      <c r="Q4" s="66"/>
      <c r="R4" s="66" t="s">
        <v>279</v>
      </c>
      <c r="S4" s="66"/>
      <c r="T4" s="66" t="s">
        <v>280</v>
      </c>
      <c r="U4" s="66"/>
      <c r="V4" s="66" t="s">
        <v>279</v>
      </c>
      <c r="W4" s="66"/>
      <c r="X4" s="66" t="s">
        <v>280</v>
      </c>
      <c r="Y4" s="66"/>
      <c r="Z4" s="66" t="s">
        <v>279</v>
      </c>
      <c r="AA4" s="66"/>
      <c r="AB4" s="66" t="s">
        <v>280</v>
      </c>
      <c r="AC4" s="66"/>
    </row>
    <row r="5" customFormat="false" ht="12.75" hidden="false" customHeight="false" outlineLevel="0" collapsed="false">
      <c r="A5" s="66"/>
      <c r="B5" s="68" t="s">
        <v>281</v>
      </c>
      <c r="C5" s="69" t="s">
        <v>282</v>
      </c>
      <c r="D5" s="68" t="s">
        <v>281</v>
      </c>
      <c r="E5" s="70" t="s">
        <v>283</v>
      </c>
      <c r="F5" s="68" t="s">
        <v>281</v>
      </c>
      <c r="G5" s="70" t="s">
        <v>282</v>
      </c>
      <c r="H5" s="71" t="s">
        <v>281</v>
      </c>
      <c r="I5" s="69" t="s">
        <v>283</v>
      </c>
      <c r="J5" s="71" t="s">
        <v>281</v>
      </c>
      <c r="K5" s="70" t="s">
        <v>282</v>
      </c>
      <c r="L5" s="71" t="s">
        <v>281</v>
      </c>
      <c r="M5" s="69" t="s">
        <v>283</v>
      </c>
      <c r="N5" s="68" t="s">
        <v>281</v>
      </c>
      <c r="O5" s="70" t="s">
        <v>282</v>
      </c>
      <c r="P5" s="71" t="s">
        <v>281</v>
      </c>
      <c r="Q5" s="69" t="s">
        <v>283</v>
      </c>
      <c r="R5" s="68" t="s">
        <v>281</v>
      </c>
      <c r="S5" s="70" t="s">
        <v>282</v>
      </c>
      <c r="T5" s="71" t="s">
        <v>281</v>
      </c>
      <c r="U5" s="69" t="s">
        <v>283</v>
      </c>
      <c r="V5" s="68" t="s">
        <v>281</v>
      </c>
      <c r="W5" s="70" t="s">
        <v>282</v>
      </c>
      <c r="X5" s="71" t="s">
        <v>281</v>
      </c>
      <c r="Y5" s="71" t="s">
        <v>283</v>
      </c>
      <c r="Z5" s="68" t="s">
        <v>281</v>
      </c>
      <c r="AA5" s="72" t="s">
        <v>282</v>
      </c>
      <c r="AB5" s="71" t="s">
        <v>281</v>
      </c>
      <c r="AC5" s="72" t="s">
        <v>283</v>
      </c>
    </row>
    <row r="6" customFormat="false" ht="12.75" hidden="false" customHeight="false" outlineLevel="0" collapsed="false">
      <c r="A6" s="39" t="n">
        <v>7</v>
      </c>
      <c r="B6" s="73" t="n">
        <v>1.71583333333333</v>
      </c>
      <c r="C6" s="64" t="n">
        <v>24</v>
      </c>
      <c r="D6" s="74" t="n">
        <v>2.34</v>
      </c>
      <c r="E6" s="75" t="n">
        <v>1</v>
      </c>
      <c r="F6" s="76" t="n">
        <v>4.52</v>
      </c>
      <c r="G6" s="77" t="n">
        <v>2</v>
      </c>
      <c r="H6" s="73" t="n">
        <v>3.40166666666667</v>
      </c>
      <c r="I6" s="75" t="n">
        <v>6</v>
      </c>
      <c r="J6" s="1" t="n">
        <v>3.4</v>
      </c>
      <c r="K6" s="77" t="n">
        <v>1</v>
      </c>
      <c r="L6" s="73" t="n">
        <v>1.978</v>
      </c>
      <c r="M6" s="75" t="n">
        <v>15</v>
      </c>
      <c r="N6" s="73" t="n">
        <v>0</v>
      </c>
      <c r="O6" s="77" t="n">
        <v>0</v>
      </c>
      <c r="P6" s="73" t="n">
        <v>0</v>
      </c>
      <c r="Q6" s="64" t="n">
        <v>0</v>
      </c>
      <c r="R6" s="76" t="n">
        <v>2.75333333333333</v>
      </c>
      <c r="S6" s="77" t="n">
        <v>3</v>
      </c>
      <c r="T6" s="73" t="n">
        <v>2.24857142857143</v>
      </c>
      <c r="U6" s="64" t="n">
        <v>7</v>
      </c>
      <c r="V6" s="76" t="n">
        <v>1.03</v>
      </c>
      <c r="W6" s="77" t="n">
        <v>1</v>
      </c>
      <c r="X6" s="73" t="n">
        <v>2.0416</v>
      </c>
      <c r="Y6" s="64" t="n">
        <v>25</v>
      </c>
      <c r="Z6" s="76" t="n">
        <v>1.46</v>
      </c>
      <c r="AA6" s="77" t="n">
        <v>1</v>
      </c>
      <c r="AB6" s="73" t="n">
        <v>1.97157894736842</v>
      </c>
      <c r="AC6" s="77" t="n">
        <v>19</v>
      </c>
      <c r="AD6" s="78"/>
    </row>
    <row r="7" customFormat="false" ht="12.75" hidden="false" customHeight="false" outlineLevel="0" collapsed="false">
      <c r="A7" s="39" t="n">
        <v>8</v>
      </c>
      <c r="B7" s="73" t="n">
        <v>2.5568</v>
      </c>
      <c r="C7" s="64" t="n">
        <v>25</v>
      </c>
      <c r="D7" s="76" t="n">
        <v>3.23</v>
      </c>
      <c r="E7" s="77" t="n">
        <v>1</v>
      </c>
      <c r="F7" s="76" t="n">
        <v>4.02</v>
      </c>
      <c r="G7" s="77" t="n">
        <v>3</v>
      </c>
      <c r="H7" s="73" t="n">
        <v>4.202</v>
      </c>
      <c r="I7" s="77" t="n">
        <v>5</v>
      </c>
      <c r="J7" s="73" t="n">
        <v>4.76</v>
      </c>
      <c r="K7" s="77" t="n">
        <v>1</v>
      </c>
      <c r="L7" s="73" t="n">
        <v>2.874375</v>
      </c>
      <c r="M7" s="77" t="n">
        <v>16</v>
      </c>
      <c r="N7" s="73" t="n">
        <v>0</v>
      </c>
      <c r="O7" s="77" t="n">
        <v>0</v>
      </c>
      <c r="P7" s="73" t="n">
        <v>0</v>
      </c>
      <c r="Q7" s="64" t="n">
        <v>0</v>
      </c>
      <c r="R7" s="76" t="n">
        <v>4.835</v>
      </c>
      <c r="S7" s="77" t="n">
        <v>2</v>
      </c>
      <c r="T7" s="73" t="n">
        <v>3.43</v>
      </c>
      <c r="U7" s="64" t="n">
        <v>5</v>
      </c>
      <c r="V7" s="76" t="n">
        <v>4.795</v>
      </c>
      <c r="W7" s="77" t="n">
        <v>2</v>
      </c>
      <c r="X7" s="73" t="n">
        <v>3.13444444444444</v>
      </c>
      <c r="Y7" s="64" t="n">
        <v>9</v>
      </c>
      <c r="Z7" s="76" t="n">
        <v>4.09</v>
      </c>
      <c r="AA7" s="77" t="n">
        <v>1</v>
      </c>
      <c r="AB7" s="73" t="n">
        <v>2.911875</v>
      </c>
      <c r="AC7" s="77" t="n">
        <v>16</v>
      </c>
      <c r="AD7" s="78"/>
    </row>
    <row r="8" customFormat="false" ht="12.75" hidden="false" customHeight="false" outlineLevel="0" collapsed="false">
      <c r="A8" s="39" t="n">
        <v>9</v>
      </c>
      <c r="B8" s="73" t="n">
        <v>3.37142857142857</v>
      </c>
      <c r="C8" s="64" t="n">
        <v>21</v>
      </c>
      <c r="D8" s="76" t="n">
        <f aca="false">14.7/4</f>
        <v>3.675</v>
      </c>
      <c r="E8" s="77" t="n">
        <v>4</v>
      </c>
      <c r="F8" s="76" t="n">
        <v>3.92285714285714</v>
      </c>
      <c r="G8" s="77" t="n">
        <v>7</v>
      </c>
      <c r="H8" s="73" t="n">
        <v>4.84</v>
      </c>
      <c r="I8" s="77" t="n">
        <v>10</v>
      </c>
      <c r="J8" s="76" t="n">
        <v>4.82</v>
      </c>
      <c r="K8" s="77" t="n">
        <v>1</v>
      </c>
      <c r="L8" s="73" t="n">
        <v>3.73333333333333</v>
      </c>
      <c r="M8" s="77" t="n">
        <v>12</v>
      </c>
      <c r="N8" s="73" t="n">
        <v>0</v>
      </c>
      <c r="O8" s="77" t="n">
        <v>0</v>
      </c>
      <c r="P8" s="73" t="n">
        <v>6.06</v>
      </c>
      <c r="Q8" s="64" t="n">
        <v>2</v>
      </c>
      <c r="R8" s="76" t="n">
        <v>5.495</v>
      </c>
      <c r="S8" s="77" t="n">
        <v>2</v>
      </c>
      <c r="T8" s="73" t="n">
        <v>4.438</v>
      </c>
      <c r="U8" s="77" t="n">
        <v>5</v>
      </c>
      <c r="V8" s="73" t="n">
        <v>0</v>
      </c>
      <c r="W8" s="77" t="n">
        <v>0</v>
      </c>
      <c r="X8" s="73" t="n">
        <v>3.38142857142857</v>
      </c>
      <c r="Y8" s="77" t="n">
        <v>7</v>
      </c>
      <c r="Z8" s="73" t="n">
        <v>0</v>
      </c>
      <c r="AA8" s="77" t="n">
        <v>0</v>
      </c>
      <c r="AB8" s="73" t="n">
        <v>4.29230769230769</v>
      </c>
      <c r="AC8" s="77" t="n">
        <v>13</v>
      </c>
      <c r="AD8" s="78"/>
    </row>
    <row r="9" customFormat="false" ht="12.75" hidden="false" customHeight="false" outlineLevel="0" collapsed="false">
      <c r="A9" s="39" t="n">
        <v>10</v>
      </c>
      <c r="B9" s="73" t="n">
        <v>4.0736</v>
      </c>
      <c r="C9" s="64" t="n">
        <v>25</v>
      </c>
      <c r="D9" s="76" t="n">
        <f aca="false">19.74/4</f>
        <v>4.935</v>
      </c>
      <c r="E9" s="77" t="n">
        <v>4</v>
      </c>
      <c r="F9" s="76" t="n">
        <v>4.903</v>
      </c>
      <c r="G9" s="77" t="n">
        <v>10</v>
      </c>
      <c r="H9" s="73" t="n">
        <v>5.92166666666667</v>
      </c>
      <c r="I9" s="77" t="n">
        <v>6</v>
      </c>
      <c r="J9" s="73" t="n">
        <v>0</v>
      </c>
      <c r="K9" s="77" t="n">
        <v>0</v>
      </c>
      <c r="L9" s="73" t="n">
        <v>5.19857142857143</v>
      </c>
      <c r="M9" s="77" t="n">
        <v>7</v>
      </c>
      <c r="N9" s="73" t="n">
        <v>5.62</v>
      </c>
      <c r="O9" s="77" t="n">
        <v>1</v>
      </c>
      <c r="P9" s="76" t="n">
        <v>7.83</v>
      </c>
      <c r="Q9" s="64" t="n">
        <v>1</v>
      </c>
      <c r="R9" s="76" t="n">
        <v>6.21</v>
      </c>
      <c r="S9" s="77" t="n">
        <v>1</v>
      </c>
      <c r="T9" s="73" t="n">
        <v>5.52</v>
      </c>
      <c r="U9" s="77" t="n">
        <v>5</v>
      </c>
      <c r="V9" s="73" t="n">
        <v>0</v>
      </c>
      <c r="W9" s="77" t="n">
        <v>0</v>
      </c>
      <c r="X9" s="73" t="n">
        <v>4.80285714285714</v>
      </c>
      <c r="Y9" s="77" t="n">
        <v>7</v>
      </c>
      <c r="Z9" s="73" t="n">
        <v>4.02</v>
      </c>
      <c r="AA9" s="77" t="n">
        <v>1</v>
      </c>
      <c r="AB9" s="73" t="n">
        <v>5.72583333333333</v>
      </c>
      <c r="AC9" s="77" t="n">
        <v>12</v>
      </c>
      <c r="AD9" s="78"/>
    </row>
    <row r="10" customFormat="false" ht="12.75" hidden="false" customHeight="false" outlineLevel="0" collapsed="false">
      <c r="A10" s="39" t="n">
        <v>11</v>
      </c>
      <c r="B10" s="73" t="n">
        <v>5.23</v>
      </c>
      <c r="C10" s="64" t="n">
        <v>19</v>
      </c>
      <c r="D10" s="76" t="n">
        <v>5.38</v>
      </c>
      <c r="E10" s="77" t="n">
        <v>1</v>
      </c>
      <c r="F10" s="76" t="n">
        <v>7.88090909090909</v>
      </c>
      <c r="G10" s="77" t="n">
        <v>11</v>
      </c>
      <c r="H10" s="73" t="n">
        <v>6.64666666666667</v>
      </c>
      <c r="I10" s="77" t="n">
        <v>9</v>
      </c>
      <c r="J10" s="76" t="n">
        <v>10.54</v>
      </c>
      <c r="K10" s="77" t="n">
        <v>1</v>
      </c>
      <c r="L10" s="73" t="n">
        <v>5.932</v>
      </c>
      <c r="M10" s="77" t="n">
        <v>5</v>
      </c>
      <c r="N10" s="73" t="n">
        <v>0</v>
      </c>
      <c r="O10" s="77" t="n">
        <v>0</v>
      </c>
      <c r="P10" s="76" t="n">
        <v>11.39</v>
      </c>
      <c r="Q10" s="64" t="n">
        <v>1</v>
      </c>
      <c r="R10" s="76" t="n">
        <v>0</v>
      </c>
      <c r="S10" s="77" t="n">
        <v>0</v>
      </c>
      <c r="T10" s="73" t="n">
        <v>7.562</v>
      </c>
      <c r="U10" s="77" t="n">
        <v>5</v>
      </c>
      <c r="V10" s="73" t="n">
        <v>0</v>
      </c>
      <c r="W10" s="77" t="n">
        <v>0</v>
      </c>
      <c r="X10" s="73" t="n">
        <v>5.56</v>
      </c>
      <c r="Y10" s="77" t="n">
        <v>3</v>
      </c>
      <c r="Z10" s="73" t="n">
        <v>0</v>
      </c>
      <c r="AA10" s="77" t="n">
        <v>0</v>
      </c>
      <c r="AB10" s="73" t="n">
        <v>21.88</v>
      </c>
      <c r="AC10" s="77" t="n">
        <v>7</v>
      </c>
      <c r="AD10" s="78"/>
    </row>
    <row r="11" customFormat="false" ht="12.75" hidden="false" customHeight="false" outlineLevel="0" collapsed="false">
      <c r="A11" s="39" t="n">
        <v>12</v>
      </c>
      <c r="B11" s="73" t="n">
        <v>8.4425</v>
      </c>
      <c r="C11" s="64" t="n">
        <v>20</v>
      </c>
      <c r="D11" s="76" t="n">
        <v>3.64</v>
      </c>
      <c r="E11" s="77" t="n">
        <v>1</v>
      </c>
      <c r="F11" s="76" t="n">
        <v>7.86153846153846</v>
      </c>
      <c r="G11" s="77" t="n">
        <v>13</v>
      </c>
      <c r="H11" s="73" t="n">
        <v>8.998</v>
      </c>
      <c r="I11" s="77" t="n">
        <v>5</v>
      </c>
      <c r="J11" s="76" t="n">
        <v>10.26</v>
      </c>
      <c r="K11" s="77" t="n">
        <v>2</v>
      </c>
      <c r="L11" s="73" t="n">
        <v>9.34166666666667</v>
      </c>
      <c r="M11" s="77" t="n">
        <v>6</v>
      </c>
      <c r="N11" s="73" t="n">
        <v>0</v>
      </c>
      <c r="O11" s="77" t="n">
        <v>0</v>
      </c>
      <c r="P11" s="73" t="n">
        <v>10.61</v>
      </c>
      <c r="Q11" s="64" t="n">
        <v>1</v>
      </c>
      <c r="R11" s="76" t="n">
        <v>12.84</v>
      </c>
      <c r="S11" s="77" t="n">
        <v>1</v>
      </c>
      <c r="T11" s="73" t="n">
        <v>9.6225</v>
      </c>
      <c r="U11" s="77" t="n">
        <v>8</v>
      </c>
      <c r="V11" s="73" t="n">
        <v>6.96</v>
      </c>
      <c r="W11" s="77" t="n">
        <v>1</v>
      </c>
      <c r="X11" s="73" t="n">
        <v>7.48714285714286</v>
      </c>
      <c r="Y11" s="77" t="n">
        <v>7</v>
      </c>
      <c r="Z11" s="73" t="n">
        <v>0</v>
      </c>
      <c r="AA11" s="77" t="n">
        <v>0</v>
      </c>
      <c r="AB11" s="73" t="n">
        <v>7.66</v>
      </c>
      <c r="AC11" s="77" t="n">
        <v>3</v>
      </c>
      <c r="AD11" s="78"/>
    </row>
    <row r="12" customFormat="false" ht="12.75" hidden="false" customHeight="false" outlineLevel="0" collapsed="false">
      <c r="A12" s="39" t="n">
        <v>13</v>
      </c>
      <c r="B12" s="73" t="n">
        <v>8.12388888888889</v>
      </c>
      <c r="C12" s="64" t="n">
        <v>18</v>
      </c>
      <c r="D12" s="76" t="n">
        <v>11.76</v>
      </c>
      <c r="E12" s="77" t="n">
        <v>1</v>
      </c>
      <c r="F12" s="76" t="n">
        <v>10.441</v>
      </c>
      <c r="G12" s="77" t="n">
        <v>20</v>
      </c>
      <c r="H12" s="73" t="n">
        <v>11.6133333333333</v>
      </c>
      <c r="I12" s="77" t="n">
        <v>3</v>
      </c>
      <c r="J12" s="76" t="n">
        <v>10.8142857142857</v>
      </c>
      <c r="K12" s="77" t="n">
        <v>7</v>
      </c>
      <c r="L12" s="73" t="n">
        <v>12.876</v>
      </c>
      <c r="M12" s="77" t="n">
        <v>5</v>
      </c>
      <c r="N12" s="73" t="n">
        <v>0</v>
      </c>
      <c r="O12" s="77" t="n">
        <v>0</v>
      </c>
      <c r="P12" s="76" t="n">
        <v>25.72</v>
      </c>
      <c r="Q12" s="64" t="n">
        <v>1</v>
      </c>
      <c r="R12" s="76" t="n">
        <v>7.87</v>
      </c>
      <c r="S12" s="77" t="n">
        <v>1</v>
      </c>
      <c r="T12" s="73" t="n">
        <v>10.06</v>
      </c>
      <c r="U12" s="77" t="n">
        <v>6</v>
      </c>
      <c r="V12" s="73" t="n">
        <v>8.9</v>
      </c>
      <c r="W12" s="77" t="n">
        <v>1</v>
      </c>
      <c r="X12" s="73" t="n">
        <v>5.82</v>
      </c>
      <c r="Y12" s="77" t="n">
        <v>1</v>
      </c>
      <c r="Z12" s="73" t="n">
        <v>0</v>
      </c>
      <c r="AA12" s="77" t="n">
        <v>0</v>
      </c>
      <c r="AB12" s="73" t="n">
        <v>0</v>
      </c>
      <c r="AC12" s="77" t="n">
        <v>0</v>
      </c>
      <c r="AD12" s="78"/>
    </row>
    <row r="13" customFormat="false" ht="12.75" hidden="false" customHeight="false" outlineLevel="0" collapsed="false">
      <c r="A13" s="39" t="n">
        <v>14</v>
      </c>
      <c r="B13" s="73" t="n">
        <v>12.4066666666667</v>
      </c>
      <c r="C13" s="64" t="n">
        <v>12</v>
      </c>
      <c r="D13" s="76" t="n">
        <f aca="false">20.94/2</f>
        <v>10.47</v>
      </c>
      <c r="E13" s="77" t="n">
        <v>2</v>
      </c>
      <c r="F13" s="76" t="n">
        <v>12.688</v>
      </c>
      <c r="G13" s="77" t="n">
        <v>25</v>
      </c>
      <c r="H13" s="73" t="n">
        <v>11.716</v>
      </c>
      <c r="I13" s="77" t="n">
        <v>5</v>
      </c>
      <c r="J13" s="76" t="n">
        <v>9.48785714285714</v>
      </c>
      <c r="K13" s="77" t="n">
        <v>14</v>
      </c>
      <c r="L13" s="73" t="n">
        <v>11.47</v>
      </c>
      <c r="M13" s="77" t="n">
        <v>5</v>
      </c>
      <c r="N13" s="73" t="n">
        <v>0</v>
      </c>
      <c r="O13" s="77" t="n">
        <v>0</v>
      </c>
      <c r="P13" s="73" t="n">
        <v>0</v>
      </c>
      <c r="Q13" s="64" t="n">
        <v>0</v>
      </c>
      <c r="R13" s="76" t="n">
        <v>15.19</v>
      </c>
      <c r="S13" s="77" t="n">
        <v>1</v>
      </c>
      <c r="T13" s="73" t="n">
        <v>12.83</v>
      </c>
      <c r="U13" s="77" t="n">
        <v>6</v>
      </c>
      <c r="V13" s="73" t="n">
        <v>0</v>
      </c>
      <c r="W13" s="77" t="n">
        <v>0</v>
      </c>
      <c r="X13" s="73" t="n">
        <v>11.555</v>
      </c>
      <c r="Y13" s="77" t="n">
        <v>2</v>
      </c>
      <c r="Z13" s="73" t="n">
        <v>0</v>
      </c>
      <c r="AA13" s="77" t="n">
        <v>0</v>
      </c>
      <c r="AB13" s="73" t="n">
        <v>0</v>
      </c>
      <c r="AC13" s="77" t="n">
        <v>0</v>
      </c>
      <c r="AD13" s="78"/>
    </row>
    <row r="14" customFormat="false" ht="12.75" hidden="false" customHeight="false" outlineLevel="0" collapsed="false">
      <c r="A14" s="39" t="n">
        <v>15</v>
      </c>
      <c r="B14" s="73" t="n">
        <v>13.33625</v>
      </c>
      <c r="C14" s="77" t="n">
        <v>8</v>
      </c>
      <c r="D14" s="73" t="n">
        <v>0</v>
      </c>
      <c r="E14" s="77" t="n">
        <v>0</v>
      </c>
      <c r="F14" s="76" t="n">
        <v>13.6828571428571</v>
      </c>
      <c r="G14" s="77" t="n">
        <v>21</v>
      </c>
      <c r="H14" s="73" t="n">
        <v>14.5225</v>
      </c>
      <c r="I14" s="77" t="n">
        <v>4</v>
      </c>
      <c r="J14" s="76" t="n">
        <v>13.3694444444444</v>
      </c>
      <c r="K14" s="77" t="n">
        <v>18</v>
      </c>
      <c r="L14" s="73" t="n">
        <v>18.685</v>
      </c>
      <c r="M14" s="77" t="n">
        <v>4</v>
      </c>
      <c r="N14" s="73" t="n">
        <v>0</v>
      </c>
      <c r="O14" s="77" t="n">
        <v>0</v>
      </c>
      <c r="P14" s="73" t="n">
        <v>0</v>
      </c>
      <c r="Q14" s="64" t="n">
        <v>0</v>
      </c>
      <c r="R14" s="76" t="n">
        <v>15.875</v>
      </c>
      <c r="S14" s="77" t="n">
        <v>2</v>
      </c>
      <c r="T14" s="73" t="n">
        <v>14.5</v>
      </c>
      <c r="U14" s="77" t="n">
        <v>6</v>
      </c>
      <c r="V14" s="73" t="n">
        <v>0</v>
      </c>
      <c r="W14" s="77" t="n">
        <v>0</v>
      </c>
      <c r="X14" s="76" t="n">
        <v>14.43</v>
      </c>
      <c r="Y14" s="77" t="n">
        <v>1</v>
      </c>
      <c r="Z14" s="73" t="n">
        <v>0</v>
      </c>
      <c r="AA14" s="77" t="n">
        <v>0</v>
      </c>
      <c r="AB14" s="73" t="n">
        <v>13.98</v>
      </c>
      <c r="AC14" s="77" t="n">
        <v>3</v>
      </c>
      <c r="AD14" s="78"/>
    </row>
    <row r="15" customFormat="false" ht="12.75" hidden="false" customHeight="false" outlineLevel="0" collapsed="false">
      <c r="A15" s="39" t="n">
        <v>16</v>
      </c>
      <c r="B15" s="73" t="n">
        <v>15.12</v>
      </c>
      <c r="C15" s="77" t="n">
        <v>6</v>
      </c>
      <c r="D15" s="73" t="n">
        <v>0</v>
      </c>
      <c r="E15" s="77" t="n">
        <v>0</v>
      </c>
      <c r="F15" s="76" t="n">
        <v>16.5216</v>
      </c>
      <c r="G15" s="77" t="n">
        <v>25</v>
      </c>
      <c r="H15" s="73" t="n">
        <v>22.48</v>
      </c>
      <c r="I15" s="77" t="n">
        <v>1</v>
      </c>
      <c r="J15" s="76" t="n">
        <v>16.8726666666667</v>
      </c>
      <c r="K15" s="77" t="n">
        <v>15</v>
      </c>
      <c r="L15" s="73" t="n">
        <v>12.52</v>
      </c>
      <c r="M15" s="77" t="n">
        <v>1</v>
      </c>
      <c r="N15" s="73" t="n">
        <v>0</v>
      </c>
      <c r="O15" s="77" t="n">
        <v>0</v>
      </c>
      <c r="P15" s="73" t="n">
        <v>0</v>
      </c>
      <c r="Q15" s="64" t="n">
        <v>0</v>
      </c>
      <c r="R15" s="76" t="n">
        <v>16.785</v>
      </c>
      <c r="S15" s="77" t="n">
        <v>2</v>
      </c>
      <c r="T15" s="73" t="n">
        <v>18.83</v>
      </c>
      <c r="U15" s="77" t="n">
        <v>1</v>
      </c>
      <c r="V15" s="73" t="n">
        <v>0</v>
      </c>
      <c r="W15" s="77" t="n">
        <v>0</v>
      </c>
      <c r="X15" s="73" t="n">
        <v>0</v>
      </c>
      <c r="Y15" s="77" t="n">
        <v>0</v>
      </c>
      <c r="Z15" s="73" t="n">
        <v>0</v>
      </c>
      <c r="AA15" s="77" t="n">
        <v>0</v>
      </c>
      <c r="AB15" s="73" t="n">
        <v>17.68</v>
      </c>
      <c r="AC15" s="77" t="n">
        <v>1</v>
      </c>
      <c r="AD15" s="78"/>
    </row>
    <row r="16" customFormat="false" ht="12.75" hidden="false" customHeight="false" outlineLevel="0" collapsed="false">
      <c r="A16" s="39" t="n">
        <v>17</v>
      </c>
      <c r="B16" s="73" t="n">
        <v>19.2425</v>
      </c>
      <c r="C16" s="77" t="n">
        <v>4</v>
      </c>
      <c r="D16" s="73" t="n">
        <v>19.85</v>
      </c>
      <c r="E16" s="77" t="n">
        <v>1</v>
      </c>
      <c r="F16" s="76" t="n">
        <v>20.205625</v>
      </c>
      <c r="G16" s="77" t="n">
        <v>16</v>
      </c>
      <c r="H16" s="73" t="n">
        <v>17.31</v>
      </c>
      <c r="I16" s="77" t="n">
        <v>3</v>
      </c>
      <c r="J16" s="76" t="n">
        <v>19.1664705882353</v>
      </c>
      <c r="K16" s="77" t="n">
        <v>17</v>
      </c>
      <c r="L16" s="73" t="n">
        <v>19.7475</v>
      </c>
      <c r="M16" s="77" t="n">
        <v>4</v>
      </c>
      <c r="N16" s="73" t="n">
        <v>0</v>
      </c>
      <c r="O16" s="77" t="n">
        <v>0</v>
      </c>
      <c r="P16" s="76" t="n">
        <v>29.96</v>
      </c>
      <c r="Q16" s="64" t="n">
        <v>1</v>
      </c>
      <c r="R16" s="76" t="n">
        <v>19.97</v>
      </c>
      <c r="S16" s="77" t="n">
        <v>2</v>
      </c>
      <c r="T16" s="73" t="n">
        <v>0</v>
      </c>
      <c r="U16" s="77" t="n">
        <v>2</v>
      </c>
      <c r="V16" s="73" t="n">
        <v>0</v>
      </c>
      <c r="W16" s="77" t="n">
        <v>0</v>
      </c>
      <c r="X16" s="73" t="n">
        <v>0</v>
      </c>
      <c r="Y16" s="77" t="n">
        <v>0</v>
      </c>
      <c r="Z16" s="73" t="n">
        <v>0</v>
      </c>
      <c r="AA16" s="77" t="n">
        <v>0</v>
      </c>
      <c r="AB16" s="73" t="n">
        <v>21.81</v>
      </c>
      <c r="AC16" s="77" t="n">
        <v>1</v>
      </c>
      <c r="AD16" s="78"/>
    </row>
    <row r="17" customFormat="false" ht="12.75" hidden="false" customHeight="false" outlineLevel="0" collapsed="false">
      <c r="A17" s="39" t="n">
        <v>18</v>
      </c>
      <c r="B17" s="73" t="n">
        <v>20.67375</v>
      </c>
      <c r="C17" s="77" t="n">
        <v>8</v>
      </c>
      <c r="D17" s="73" t="n">
        <v>20.4</v>
      </c>
      <c r="E17" s="77" t="n">
        <v>1</v>
      </c>
      <c r="F17" s="76" t="n">
        <v>21.8657142857143</v>
      </c>
      <c r="G17" s="77" t="n">
        <v>14</v>
      </c>
      <c r="H17" s="73" t="n">
        <v>22.29</v>
      </c>
      <c r="I17" s="77" t="n">
        <v>2</v>
      </c>
      <c r="J17" s="76" t="n">
        <v>28.0841666666667</v>
      </c>
      <c r="K17" s="77" t="n">
        <v>12</v>
      </c>
      <c r="L17" s="73" t="n">
        <v>32.74</v>
      </c>
      <c r="M17" s="77" t="n">
        <v>3</v>
      </c>
      <c r="N17" s="73" t="n">
        <v>0</v>
      </c>
      <c r="O17" s="77" t="n">
        <v>0</v>
      </c>
      <c r="P17" s="73" t="n">
        <v>0</v>
      </c>
      <c r="Q17" s="64" t="n">
        <v>0</v>
      </c>
      <c r="R17" s="76" t="n">
        <v>27</v>
      </c>
      <c r="S17" s="77" t="n">
        <v>2</v>
      </c>
      <c r="T17" s="73" t="n">
        <v>0</v>
      </c>
      <c r="U17" s="77" t="n">
        <v>0</v>
      </c>
      <c r="V17" s="73" t="n">
        <v>0</v>
      </c>
      <c r="W17" s="77" t="n">
        <v>0</v>
      </c>
      <c r="X17" s="76" t="n">
        <v>11.47</v>
      </c>
      <c r="Y17" s="77" t="n">
        <v>1</v>
      </c>
      <c r="Z17" s="73" t="n">
        <v>0</v>
      </c>
      <c r="AA17" s="77" t="n">
        <v>0</v>
      </c>
      <c r="AB17" s="73" t="n">
        <v>0</v>
      </c>
      <c r="AC17" s="77" t="n">
        <v>0</v>
      </c>
      <c r="AD17" s="78"/>
    </row>
    <row r="18" customFormat="false" ht="12.75" hidden="false" customHeight="false" outlineLevel="0" collapsed="false">
      <c r="A18" s="39" t="n">
        <v>19</v>
      </c>
      <c r="B18" s="73" t="n">
        <v>31.0625</v>
      </c>
      <c r="C18" s="77" t="n">
        <v>4</v>
      </c>
      <c r="D18" s="73" t="n">
        <v>22.29</v>
      </c>
      <c r="E18" s="64" t="n">
        <v>1</v>
      </c>
      <c r="F18" s="76" t="n">
        <v>29.3981818181818</v>
      </c>
      <c r="G18" s="77" t="n">
        <v>11</v>
      </c>
      <c r="H18" s="73" t="n">
        <v>24.4366666666667</v>
      </c>
      <c r="I18" s="77" t="n">
        <v>3</v>
      </c>
      <c r="J18" s="76" t="n">
        <v>27.5133333333333</v>
      </c>
      <c r="K18" s="77" t="n">
        <v>9</v>
      </c>
      <c r="L18" s="73" t="n">
        <v>38.39</v>
      </c>
      <c r="M18" s="77" t="n">
        <v>1</v>
      </c>
      <c r="N18" s="73" t="n">
        <v>0</v>
      </c>
      <c r="O18" s="77" t="n">
        <v>0</v>
      </c>
      <c r="P18" s="73" t="n">
        <v>0</v>
      </c>
      <c r="Q18" s="64" t="n">
        <v>0</v>
      </c>
      <c r="R18" s="76" t="n">
        <v>28.475</v>
      </c>
      <c r="S18" s="77" t="n">
        <v>2</v>
      </c>
      <c r="T18" s="73" t="n">
        <v>0</v>
      </c>
      <c r="U18" s="77" t="n">
        <v>0</v>
      </c>
      <c r="V18" s="73" t="n">
        <v>0</v>
      </c>
      <c r="W18" s="77" t="n">
        <v>0</v>
      </c>
      <c r="X18" s="73" t="n">
        <v>0</v>
      </c>
      <c r="Y18" s="77" t="n">
        <v>0</v>
      </c>
      <c r="Z18" s="73" t="n">
        <v>0</v>
      </c>
      <c r="AA18" s="77" t="n">
        <v>0</v>
      </c>
      <c r="AB18" s="73" t="n">
        <v>0</v>
      </c>
      <c r="AC18" s="77" t="n">
        <v>0</v>
      </c>
      <c r="AD18" s="78"/>
    </row>
    <row r="19" customFormat="false" ht="12.75" hidden="false" customHeight="false" outlineLevel="0" collapsed="false">
      <c r="A19" s="39" t="n">
        <v>20</v>
      </c>
      <c r="B19" s="73" t="n">
        <v>35.5483333333333</v>
      </c>
      <c r="C19" s="77" t="n">
        <v>6</v>
      </c>
      <c r="D19" s="73" t="n">
        <v>31.83</v>
      </c>
      <c r="E19" s="77" t="n">
        <v>1</v>
      </c>
      <c r="F19" s="76" t="n">
        <v>37.4990909090909</v>
      </c>
      <c r="G19" s="77" t="n">
        <v>11</v>
      </c>
      <c r="H19" s="73" t="n">
        <v>28.05</v>
      </c>
      <c r="I19" s="77" t="n">
        <v>2</v>
      </c>
      <c r="J19" s="76" t="n">
        <v>35.655</v>
      </c>
      <c r="K19" s="77" t="n">
        <v>2</v>
      </c>
      <c r="L19" s="73" t="n">
        <v>27.785</v>
      </c>
      <c r="M19" s="77" t="n">
        <v>2</v>
      </c>
      <c r="N19" s="73" t="n">
        <v>0</v>
      </c>
      <c r="O19" s="77" t="n">
        <v>0</v>
      </c>
      <c r="P19" s="73" t="n">
        <v>0</v>
      </c>
      <c r="Q19" s="64" t="n">
        <v>0</v>
      </c>
      <c r="R19" s="76" t="n">
        <v>28.0575</v>
      </c>
      <c r="S19" s="77" t="n">
        <v>4</v>
      </c>
      <c r="T19" s="73" t="n">
        <v>0</v>
      </c>
      <c r="U19" s="77" t="n">
        <v>0</v>
      </c>
      <c r="V19" s="73" t="n">
        <v>0</v>
      </c>
      <c r="W19" s="77" t="n">
        <v>0</v>
      </c>
      <c r="X19" s="73" t="n">
        <v>0</v>
      </c>
      <c r="Y19" s="77" t="n">
        <v>0</v>
      </c>
      <c r="Z19" s="73" t="n">
        <v>0</v>
      </c>
      <c r="AA19" s="77" t="n">
        <v>0</v>
      </c>
      <c r="AB19" s="73" t="n">
        <v>0</v>
      </c>
      <c r="AC19" s="77" t="n">
        <v>0</v>
      </c>
      <c r="AD19" s="78"/>
    </row>
    <row r="20" customFormat="false" ht="12.75" hidden="false" customHeight="false" outlineLevel="0" collapsed="false">
      <c r="A20" s="39" t="n">
        <v>21</v>
      </c>
      <c r="B20" s="73" t="n">
        <v>32.175</v>
      </c>
      <c r="C20" s="77" t="n">
        <v>8</v>
      </c>
      <c r="D20" s="73" t="n">
        <v>39.19</v>
      </c>
      <c r="E20" s="77" t="n">
        <v>1</v>
      </c>
      <c r="F20" s="76" t="n">
        <v>36.0438461538462</v>
      </c>
      <c r="G20" s="77" t="n">
        <v>13</v>
      </c>
      <c r="H20" s="73" t="n">
        <v>32.595</v>
      </c>
      <c r="I20" s="77" t="n">
        <v>2</v>
      </c>
      <c r="J20" s="76" t="n">
        <v>38.78</v>
      </c>
      <c r="K20" s="77" t="n">
        <v>4</v>
      </c>
      <c r="L20" s="73" t="n">
        <v>44.52</v>
      </c>
      <c r="M20" s="77" t="n">
        <v>1</v>
      </c>
      <c r="N20" s="73" t="n">
        <v>0</v>
      </c>
      <c r="O20" s="77" t="n">
        <v>0</v>
      </c>
      <c r="P20" s="76" t="n">
        <v>71.78</v>
      </c>
      <c r="Q20" s="64" t="n">
        <v>1</v>
      </c>
      <c r="R20" s="76" t="n">
        <v>31.86</v>
      </c>
      <c r="S20" s="77" t="n">
        <v>2</v>
      </c>
      <c r="T20" s="73" t="n">
        <v>0</v>
      </c>
      <c r="U20" s="77" t="n">
        <v>0</v>
      </c>
      <c r="V20" s="73" t="n">
        <v>0</v>
      </c>
      <c r="W20" s="77" t="n">
        <v>0</v>
      </c>
      <c r="X20" s="73" t="n">
        <v>0</v>
      </c>
      <c r="Y20" s="77" t="n">
        <v>0</v>
      </c>
      <c r="Z20" s="73" t="n">
        <v>0</v>
      </c>
      <c r="AA20" s="77" t="n">
        <v>0</v>
      </c>
      <c r="AB20" s="73" t="n">
        <v>0</v>
      </c>
      <c r="AC20" s="77" t="n">
        <v>0</v>
      </c>
      <c r="AD20" s="78"/>
    </row>
    <row r="21" customFormat="false" ht="12.75" hidden="false" customHeight="false" outlineLevel="0" collapsed="false">
      <c r="A21" s="39" t="n">
        <v>22</v>
      </c>
      <c r="B21" s="73" t="n">
        <v>55.6109090909091</v>
      </c>
      <c r="C21" s="77" t="n">
        <v>15</v>
      </c>
      <c r="D21" s="73" t="n">
        <v>0</v>
      </c>
      <c r="E21" s="77" t="n">
        <v>0</v>
      </c>
      <c r="F21" s="76" t="n">
        <v>45.54</v>
      </c>
      <c r="G21" s="77" t="n">
        <v>11</v>
      </c>
      <c r="H21" s="73" t="n">
        <v>0</v>
      </c>
      <c r="I21" s="77" t="n">
        <v>0</v>
      </c>
      <c r="J21" s="76" t="n">
        <v>40.86</v>
      </c>
      <c r="K21" s="77" t="n">
        <v>1</v>
      </c>
      <c r="L21" s="73" t="n">
        <v>0</v>
      </c>
      <c r="M21" s="77" t="n">
        <v>0</v>
      </c>
      <c r="N21" s="73" t="n">
        <v>0</v>
      </c>
      <c r="O21" s="77" t="n">
        <v>0</v>
      </c>
      <c r="P21" s="73" t="n">
        <v>0</v>
      </c>
      <c r="Q21" s="77" t="n">
        <v>0</v>
      </c>
      <c r="R21" s="76" t="n">
        <v>43.73</v>
      </c>
      <c r="S21" s="77" t="n">
        <v>2</v>
      </c>
      <c r="T21" s="73" t="n">
        <v>0</v>
      </c>
      <c r="U21" s="77" t="n">
        <v>0</v>
      </c>
      <c r="V21" s="73" t="n">
        <v>0</v>
      </c>
      <c r="W21" s="77" t="n">
        <v>0</v>
      </c>
      <c r="X21" s="73" t="n">
        <v>0</v>
      </c>
      <c r="Y21" s="77" t="n">
        <v>0</v>
      </c>
      <c r="Z21" s="73" t="n">
        <v>0</v>
      </c>
      <c r="AA21" s="77" t="n">
        <v>0</v>
      </c>
      <c r="AB21" s="73" t="n">
        <v>0</v>
      </c>
      <c r="AC21" s="77" t="n">
        <v>0</v>
      </c>
      <c r="AD21" s="78"/>
    </row>
    <row r="22" customFormat="false" ht="12.75" hidden="false" customHeight="false" outlineLevel="0" collapsed="false">
      <c r="A22" s="39" t="n">
        <v>23</v>
      </c>
      <c r="B22" s="73" t="n">
        <v>44.314</v>
      </c>
      <c r="C22" s="77" t="n">
        <v>15</v>
      </c>
      <c r="D22" s="73" t="n">
        <v>0</v>
      </c>
      <c r="E22" s="77" t="n">
        <v>0</v>
      </c>
      <c r="F22" s="76" t="n">
        <v>48.952</v>
      </c>
      <c r="G22" s="77" t="n">
        <v>10</v>
      </c>
      <c r="H22" s="73" t="n">
        <v>38.33</v>
      </c>
      <c r="I22" s="77" t="n">
        <v>1</v>
      </c>
      <c r="J22" s="76" t="n">
        <v>31.64</v>
      </c>
      <c r="K22" s="77" t="n">
        <v>1</v>
      </c>
      <c r="L22" s="73" t="n">
        <v>31.31</v>
      </c>
      <c r="M22" s="77" t="n">
        <v>1</v>
      </c>
      <c r="N22" s="73" t="n">
        <v>0</v>
      </c>
      <c r="O22" s="77" t="n">
        <v>0</v>
      </c>
      <c r="P22" s="73" t="n">
        <v>0</v>
      </c>
      <c r="Q22" s="77" t="n">
        <v>0</v>
      </c>
      <c r="R22" s="76" t="n">
        <v>41.33</v>
      </c>
      <c r="S22" s="77" t="n">
        <v>2</v>
      </c>
      <c r="T22" s="73" t="n">
        <v>0</v>
      </c>
      <c r="U22" s="77" t="n">
        <v>0</v>
      </c>
      <c r="V22" s="73" t="n">
        <v>0</v>
      </c>
      <c r="W22" s="77" t="n">
        <v>0</v>
      </c>
      <c r="X22" s="73" t="n">
        <v>0</v>
      </c>
      <c r="Y22" s="77" t="n">
        <v>0</v>
      </c>
      <c r="Z22" s="73" t="n">
        <v>0</v>
      </c>
      <c r="AA22" s="77" t="n">
        <v>0</v>
      </c>
      <c r="AB22" s="73" t="n">
        <v>0</v>
      </c>
      <c r="AC22" s="77" t="n">
        <v>0</v>
      </c>
      <c r="AD22" s="78"/>
    </row>
    <row r="23" customFormat="false" ht="12.75" hidden="false" customHeight="false" outlineLevel="0" collapsed="false">
      <c r="A23" s="39" t="n">
        <v>24</v>
      </c>
      <c r="B23" s="73" t="n">
        <v>44.4421428571429</v>
      </c>
      <c r="C23" s="77" t="n">
        <v>14</v>
      </c>
      <c r="D23" s="73" t="n">
        <v>0</v>
      </c>
      <c r="E23" s="77" t="n">
        <v>0</v>
      </c>
      <c r="F23" s="76" t="n">
        <v>39.4278260869565</v>
      </c>
      <c r="G23" s="77" t="n">
        <v>23</v>
      </c>
      <c r="H23" s="73" t="n">
        <v>41.5</v>
      </c>
      <c r="I23" s="77" t="n">
        <v>1</v>
      </c>
      <c r="J23" s="76" t="n">
        <v>54.42</v>
      </c>
      <c r="K23" s="77" t="n">
        <v>1</v>
      </c>
      <c r="L23" s="73" t="n">
        <v>0</v>
      </c>
      <c r="M23" s="77" t="n">
        <v>0</v>
      </c>
      <c r="N23" s="73" t="n">
        <v>0</v>
      </c>
      <c r="O23" s="77" t="n">
        <v>0</v>
      </c>
      <c r="P23" s="73" t="n">
        <v>0</v>
      </c>
      <c r="Q23" s="77" t="n">
        <v>0</v>
      </c>
      <c r="R23" s="76" t="n">
        <v>52.85</v>
      </c>
      <c r="S23" s="77" t="n">
        <v>1</v>
      </c>
      <c r="T23" s="73" t="n">
        <v>0</v>
      </c>
      <c r="U23" s="77" t="n">
        <v>0</v>
      </c>
      <c r="V23" s="73" t="n">
        <v>0</v>
      </c>
      <c r="W23" s="77" t="n">
        <v>0</v>
      </c>
      <c r="X23" s="73" t="n">
        <v>0</v>
      </c>
      <c r="Y23" s="77" t="n">
        <v>0</v>
      </c>
      <c r="Z23" s="73" t="n">
        <v>0</v>
      </c>
      <c r="AA23" s="77" t="n">
        <v>0</v>
      </c>
      <c r="AB23" s="73" t="n">
        <v>0</v>
      </c>
      <c r="AC23" s="77" t="n">
        <v>0</v>
      </c>
      <c r="AD23" s="78"/>
    </row>
    <row r="24" customFormat="false" ht="12.75" hidden="false" customHeight="false" outlineLevel="0" collapsed="false">
      <c r="A24" s="39" t="n">
        <v>25</v>
      </c>
      <c r="B24" s="73" t="n">
        <v>47.9964285714286</v>
      </c>
      <c r="C24" s="77" t="n">
        <v>14</v>
      </c>
      <c r="D24" s="73" t="n">
        <v>0</v>
      </c>
      <c r="E24" s="77" t="n">
        <v>0</v>
      </c>
      <c r="F24" s="76" t="n">
        <v>69.6272</v>
      </c>
      <c r="G24" s="77" t="n">
        <v>25</v>
      </c>
      <c r="H24" s="73" t="n">
        <v>0</v>
      </c>
      <c r="I24" s="77" t="n">
        <v>0</v>
      </c>
      <c r="J24" s="73" t="n">
        <v>0</v>
      </c>
      <c r="K24" s="77" t="n">
        <v>0</v>
      </c>
      <c r="L24" s="73" t="n">
        <v>0</v>
      </c>
      <c r="M24" s="77" t="n">
        <v>0</v>
      </c>
      <c r="N24" s="73" t="n">
        <v>0</v>
      </c>
      <c r="O24" s="77" t="n">
        <v>0</v>
      </c>
      <c r="P24" s="73" t="n">
        <v>0</v>
      </c>
      <c r="Q24" s="77" t="n">
        <v>0</v>
      </c>
      <c r="R24" s="76" t="n">
        <v>56.49</v>
      </c>
      <c r="S24" s="77" t="n">
        <v>2</v>
      </c>
      <c r="T24" s="73" t="n">
        <v>0</v>
      </c>
      <c r="U24" s="77" t="n">
        <v>0</v>
      </c>
      <c r="V24" s="73" t="n">
        <v>0</v>
      </c>
      <c r="W24" s="77" t="n">
        <v>0</v>
      </c>
      <c r="X24" s="73" t="n">
        <v>0</v>
      </c>
      <c r="Y24" s="77" t="n">
        <v>0</v>
      </c>
      <c r="Z24" s="73" t="n">
        <v>0</v>
      </c>
      <c r="AA24" s="77" t="n">
        <v>0</v>
      </c>
      <c r="AB24" s="73" t="n">
        <v>0</v>
      </c>
      <c r="AC24" s="77" t="n">
        <v>0</v>
      </c>
      <c r="AD24" s="78"/>
    </row>
    <row r="25" customFormat="false" ht="12.75" hidden="false" customHeight="false" outlineLevel="0" collapsed="false">
      <c r="A25" s="39" t="n">
        <v>26</v>
      </c>
      <c r="B25" s="73" t="n">
        <v>60.5566666666667</v>
      </c>
      <c r="C25" s="77" t="n">
        <v>6</v>
      </c>
      <c r="D25" s="73" t="n">
        <v>0</v>
      </c>
      <c r="E25" s="77" t="n">
        <v>0</v>
      </c>
      <c r="F25" s="76" t="n">
        <v>71.3792</v>
      </c>
      <c r="G25" s="77" t="n">
        <v>25</v>
      </c>
      <c r="H25" s="73" t="n">
        <v>0</v>
      </c>
      <c r="I25" s="77" t="n">
        <v>0</v>
      </c>
      <c r="J25" s="73" t="n">
        <v>0</v>
      </c>
      <c r="K25" s="77" t="n">
        <v>0</v>
      </c>
      <c r="L25" s="73" t="n">
        <v>52.34</v>
      </c>
      <c r="M25" s="77" t="n">
        <v>1</v>
      </c>
      <c r="N25" s="73" t="n">
        <v>0</v>
      </c>
      <c r="O25" s="77" t="n">
        <v>0</v>
      </c>
      <c r="P25" s="73" t="n">
        <v>0</v>
      </c>
      <c r="Q25" s="77" t="n">
        <v>0</v>
      </c>
      <c r="R25" s="76" t="n">
        <v>54.555</v>
      </c>
      <c r="S25" s="77" t="n">
        <v>2</v>
      </c>
      <c r="T25" s="73" t="n">
        <v>0</v>
      </c>
      <c r="U25" s="77" t="n">
        <v>0</v>
      </c>
      <c r="V25" s="73" t="n">
        <v>0</v>
      </c>
      <c r="W25" s="77" t="n">
        <v>0</v>
      </c>
      <c r="X25" s="73" t="n">
        <v>0</v>
      </c>
      <c r="Y25" s="77" t="n">
        <v>0</v>
      </c>
      <c r="Z25" s="73" t="n">
        <v>0</v>
      </c>
      <c r="AA25" s="77" t="n">
        <v>0</v>
      </c>
      <c r="AB25" s="73" t="n">
        <v>0</v>
      </c>
      <c r="AC25" s="77" t="n">
        <v>0</v>
      </c>
      <c r="AD25" s="78"/>
      <c r="AE25" s="44"/>
    </row>
    <row r="26" customFormat="false" ht="12.75" hidden="false" customHeight="false" outlineLevel="0" collapsed="false">
      <c r="A26" s="39" t="n">
        <v>27</v>
      </c>
      <c r="B26" s="73" t="n">
        <v>60.74</v>
      </c>
      <c r="C26" s="77" t="n">
        <v>4</v>
      </c>
      <c r="D26" s="73" t="n">
        <v>0</v>
      </c>
      <c r="E26" s="77" t="n">
        <v>0</v>
      </c>
      <c r="F26" s="76" t="n">
        <v>72.3468</v>
      </c>
      <c r="G26" s="77" t="n">
        <v>25</v>
      </c>
      <c r="H26" s="73" t="n">
        <v>0</v>
      </c>
      <c r="I26" s="77" t="n">
        <v>0</v>
      </c>
      <c r="J26" s="73" t="n">
        <v>0</v>
      </c>
      <c r="K26" s="77" t="n">
        <v>0</v>
      </c>
      <c r="L26" s="73" t="n">
        <v>0</v>
      </c>
      <c r="M26" s="77" t="n">
        <v>0</v>
      </c>
      <c r="N26" s="73" t="n">
        <v>0</v>
      </c>
      <c r="O26" s="77" t="n">
        <v>0</v>
      </c>
      <c r="P26" s="73" t="n">
        <v>0</v>
      </c>
      <c r="Q26" s="77" t="n">
        <v>0</v>
      </c>
      <c r="R26" s="76" t="n">
        <v>49.68</v>
      </c>
      <c r="S26" s="77" t="n">
        <v>1</v>
      </c>
      <c r="T26" s="73" t="n">
        <v>0</v>
      </c>
      <c r="U26" s="77" t="n">
        <v>0</v>
      </c>
      <c r="V26" s="73" t="n">
        <v>0</v>
      </c>
      <c r="W26" s="77" t="n">
        <v>0</v>
      </c>
      <c r="X26" s="73" t="n">
        <v>0</v>
      </c>
      <c r="Y26" s="77" t="n">
        <v>0</v>
      </c>
      <c r="Z26" s="73" t="n">
        <v>0</v>
      </c>
      <c r="AA26" s="77" t="n">
        <v>0</v>
      </c>
      <c r="AB26" s="73" t="n">
        <v>0</v>
      </c>
      <c r="AC26" s="77" t="n">
        <v>0</v>
      </c>
      <c r="AD26" s="78"/>
    </row>
    <row r="27" customFormat="false" ht="12.75" hidden="false" customHeight="false" outlineLevel="0" collapsed="false">
      <c r="A27" s="39" t="n">
        <v>28</v>
      </c>
      <c r="B27" s="73" t="n">
        <v>87.03</v>
      </c>
      <c r="C27" s="77" t="n">
        <v>1</v>
      </c>
      <c r="D27" s="73" t="n">
        <v>0</v>
      </c>
      <c r="E27" s="77" t="n">
        <v>0</v>
      </c>
      <c r="F27" s="76" t="n">
        <v>89.9961904761905</v>
      </c>
      <c r="G27" s="77" t="n">
        <v>21</v>
      </c>
      <c r="H27" s="73" t="n">
        <v>0</v>
      </c>
      <c r="I27" s="77" t="n">
        <v>0</v>
      </c>
      <c r="J27" s="73" t="n">
        <v>0</v>
      </c>
      <c r="K27" s="77" t="n">
        <v>0</v>
      </c>
      <c r="L27" s="73" t="n">
        <v>0</v>
      </c>
      <c r="M27" s="77" t="n">
        <v>0</v>
      </c>
      <c r="N27" s="73" t="n">
        <v>0</v>
      </c>
      <c r="O27" s="77" t="n">
        <v>0</v>
      </c>
      <c r="P27" s="73" t="n">
        <v>0</v>
      </c>
      <c r="Q27" s="77" t="n">
        <v>0</v>
      </c>
      <c r="R27" s="76" t="n">
        <v>55.3</v>
      </c>
      <c r="S27" s="77" t="n">
        <v>2</v>
      </c>
      <c r="T27" s="73" t="n">
        <v>0</v>
      </c>
      <c r="U27" s="77" t="n">
        <v>0</v>
      </c>
      <c r="V27" s="73" t="n">
        <v>0</v>
      </c>
      <c r="W27" s="77" t="n">
        <v>0</v>
      </c>
      <c r="X27" s="73" t="n">
        <v>0</v>
      </c>
      <c r="Y27" s="77" t="n">
        <v>0</v>
      </c>
      <c r="Z27" s="73" t="n">
        <v>0</v>
      </c>
      <c r="AA27" s="77" t="n">
        <v>0</v>
      </c>
      <c r="AB27" s="73" t="n">
        <v>0</v>
      </c>
      <c r="AC27" s="77" t="n">
        <v>0</v>
      </c>
      <c r="AD27" s="78"/>
    </row>
    <row r="28" customFormat="false" ht="12.75" hidden="false" customHeight="false" outlineLevel="0" collapsed="false">
      <c r="A28" s="39" t="n">
        <v>29</v>
      </c>
      <c r="B28" s="73" t="n">
        <v>66.92</v>
      </c>
      <c r="C28" s="77" t="n">
        <v>1</v>
      </c>
      <c r="D28" s="73" t="n">
        <v>0</v>
      </c>
      <c r="E28" s="77" t="n">
        <v>0</v>
      </c>
      <c r="F28" s="76" t="n">
        <v>89.478</v>
      </c>
      <c r="G28" s="77" t="n">
        <v>20</v>
      </c>
      <c r="H28" s="73" t="n">
        <v>0</v>
      </c>
      <c r="I28" s="77" t="n">
        <v>0</v>
      </c>
      <c r="J28" s="76" t="n">
        <v>104.99</v>
      </c>
      <c r="K28" s="77" t="n">
        <v>1</v>
      </c>
      <c r="L28" s="73" t="n">
        <v>0</v>
      </c>
      <c r="M28" s="77" t="n">
        <v>0</v>
      </c>
      <c r="N28" s="73" t="n">
        <v>0</v>
      </c>
      <c r="O28" s="77" t="n">
        <v>0</v>
      </c>
      <c r="P28" s="73" t="n">
        <v>0</v>
      </c>
      <c r="Q28" s="77" t="n">
        <v>0</v>
      </c>
      <c r="R28" s="76" t="n">
        <v>63.61</v>
      </c>
      <c r="S28" s="77" t="n">
        <v>1</v>
      </c>
      <c r="T28" s="73" t="n">
        <v>0</v>
      </c>
      <c r="U28" s="77" t="n">
        <v>0</v>
      </c>
      <c r="V28" s="73" t="n">
        <v>0</v>
      </c>
      <c r="W28" s="77" t="n">
        <v>0</v>
      </c>
      <c r="X28" s="73" t="n">
        <v>0</v>
      </c>
      <c r="Y28" s="77" t="n">
        <v>0</v>
      </c>
      <c r="Z28" s="73" t="n">
        <v>0</v>
      </c>
      <c r="AA28" s="77" t="n">
        <v>0</v>
      </c>
      <c r="AB28" s="73" t="n">
        <v>0</v>
      </c>
      <c r="AC28" s="77" t="n">
        <v>0</v>
      </c>
      <c r="AD28" s="78"/>
    </row>
    <row r="29" customFormat="false" ht="12.75" hidden="false" customHeight="false" outlineLevel="0" collapsed="false">
      <c r="A29" s="39" t="n">
        <v>30</v>
      </c>
      <c r="B29" s="73" t="n">
        <v>0</v>
      </c>
      <c r="C29" s="77" t="n">
        <v>0</v>
      </c>
      <c r="D29" s="73" t="n">
        <v>0</v>
      </c>
      <c r="E29" s="77" t="n">
        <v>0</v>
      </c>
      <c r="F29" s="76" t="n">
        <v>88.1635714285714</v>
      </c>
      <c r="G29" s="77" t="n">
        <v>14</v>
      </c>
      <c r="H29" s="73" t="n">
        <v>0</v>
      </c>
      <c r="I29" s="77" t="n">
        <v>0</v>
      </c>
      <c r="J29" s="76" t="n">
        <v>118.68</v>
      </c>
      <c r="K29" s="77" t="n">
        <v>1</v>
      </c>
      <c r="L29" s="73" t="n">
        <v>0</v>
      </c>
      <c r="M29" s="77" t="n">
        <v>0</v>
      </c>
      <c r="N29" s="73" t="n">
        <v>0</v>
      </c>
      <c r="O29" s="77" t="n">
        <v>0</v>
      </c>
      <c r="P29" s="73" t="n">
        <v>0</v>
      </c>
      <c r="Q29" s="77" t="n">
        <v>0</v>
      </c>
      <c r="R29" s="73" t="n">
        <v>70.595</v>
      </c>
      <c r="S29" s="77" t="n">
        <v>2</v>
      </c>
      <c r="T29" s="73" t="n">
        <v>0</v>
      </c>
      <c r="U29" s="77" t="n">
        <v>0</v>
      </c>
      <c r="V29" s="73" t="n">
        <v>0</v>
      </c>
      <c r="W29" s="77" t="n">
        <v>0</v>
      </c>
      <c r="X29" s="73" t="n">
        <v>0</v>
      </c>
      <c r="Y29" s="77" t="n">
        <v>0</v>
      </c>
      <c r="Z29" s="73" t="n">
        <v>0</v>
      </c>
      <c r="AA29" s="77" t="n">
        <v>0</v>
      </c>
      <c r="AB29" s="73" t="n">
        <v>0</v>
      </c>
      <c r="AC29" s="77" t="n">
        <v>0</v>
      </c>
      <c r="AD29" s="78"/>
    </row>
    <row r="30" customFormat="false" ht="12.75" hidden="false" customHeight="false" outlineLevel="0" collapsed="false">
      <c r="A30" s="39" t="n">
        <v>31</v>
      </c>
      <c r="B30" s="73" t="n">
        <v>0</v>
      </c>
      <c r="C30" s="77" t="n">
        <v>0</v>
      </c>
      <c r="D30" s="73" t="n">
        <v>0</v>
      </c>
      <c r="E30" s="77" t="n">
        <v>0</v>
      </c>
      <c r="F30" s="73" t="n">
        <v>100.107142857143</v>
      </c>
      <c r="G30" s="77" t="n">
        <v>7</v>
      </c>
      <c r="H30" s="73" t="n">
        <v>0</v>
      </c>
      <c r="I30" s="77" t="n">
        <v>0</v>
      </c>
      <c r="J30" s="73" t="n">
        <v>0</v>
      </c>
      <c r="K30" s="77" t="n">
        <v>0</v>
      </c>
      <c r="L30" s="73" t="n">
        <v>0</v>
      </c>
      <c r="M30" s="77" t="n">
        <v>0</v>
      </c>
      <c r="N30" s="73" t="n">
        <v>0</v>
      </c>
      <c r="O30" s="77" t="n">
        <v>0</v>
      </c>
      <c r="P30" s="73" t="n">
        <v>0</v>
      </c>
      <c r="Q30" s="77" t="n">
        <v>0</v>
      </c>
      <c r="R30" s="76" t="n">
        <v>0</v>
      </c>
      <c r="S30" s="77" t="n">
        <v>0</v>
      </c>
      <c r="T30" s="73" t="n">
        <v>0</v>
      </c>
      <c r="U30" s="77" t="n">
        <v>0</v>
      </c>
      <c r="V30" s="73" t="n">
        <v>0</v>
      </c>
      <c r="W30" s="77" t="n">
        <v>0</v>
      </c>
      <c r="X30" s="73" t="n">
        <v>0</v>
      </c>
      <c r="Y30" s="77" t="n">
        <v>0</v>
      </c>
      <c r="Z30" s="73" t="n">
        <v>0</v>
      </c>
      <c r="AA30" s="77" t="n">
        <v>0</v>
      </c>
      <c r="AB30" s="73" t="n">
        <v>0</v>
      </c>
      <c r="AC30" s="77" t="n">
        <v>0</v>
      </c>
      <c r="AD30" s="78"/>
    </row>
    <row r="31" customFormat="false" ht="12.75" hidden="false" customHeight="false" outlineLevel="0" collapsed="false">
      <c r="A31" s="39" t="n">
        <v>32</v>
      </c>
      <c r="B31" s="73" t="n">
        <v>0</v>
      </c>
      <c r="C31" s="77" t="n">
        <v>0</v>
      </c>
      <c r="D31" s="73" t="n">
        <v>0</v>
      </c>
      <c r="E31" s="77" t="n">
        <v>0</v>
      </c>
      <c r="F31" s="1" t="n">
        <v>102.705</v>
      </c>
      <c r="G31" s="77" t="n">
        <v>2</v>
      </c>
      <c r="H31" s="73" t="n">
        <v>0</v>
      </c>
      <c r="I31" s="77" t="n">
        <v>0</v>
      </c>
      <c r="J31" s="73" t="n">
        <v>0</v>
      </c>
      <c r="K31" s="77" t="n">
        <v>0</v>
      </c>
      <c r="L31" s="73" t="n">
        <v>0</v>
      </c>
      <c r="M31" s="77" t="n">
        <v>0</v>
      </c>
      <c r="N31" s="73" t="n">
        <v>0</v>
      </c>
      <c r="O31" s="77" t="n">
        <v>0</v>
      </c>
      <c r="P31" s="73" t="n">
        <v>0</v>
      </c>
      <c r="Q31" s="77" t="n">
        <v>0</v>
      </c>
      <c r="R31" s="76" t="n">
        <v>79.91</v>
      </c>
      <c r="S31" s="77" t="n">
        <v>1</v>
      </c>
      <c r="T31" s="73" t="n">
        <v>0</v>
      </c>
      <c r="U31" s="77" t="n">
        <v>0</v>
      </c>
      <c r="V31" s="73" t="n">
        <v>0</v>
      </c>
      <c r="W31" s="77" t="n">
        <v>0</v>
      </c>
      <c r="X31" s="73" t="n">
        <v>0</v>
      </c>
      <c r="Y31" s="77" t="n">
        <v>0</v>
      </c>
      <c r="Z31" s="73" t="n">
        <v>0</v>
      </c>
      <c r="AA31" s="77" t="n">
        <v>0</v>
      </c>
      <c r="AB31" s="73" t="n">
        <v>0</v>
      </c>
      <c r="AC31" s="77" t="n">
        <v>0</v>
      </c>
      <c r="AD31" s="78"/>
    </row>
    <row r="32" customFormat="false" ht="12.75" hidden="false" customHeight="false" outlineLevel="0" collapsed="false">
      <c r="A32" s="39" t="n">
        <v>33</v>
      </c>
      <c r="B32" s="73" t="n">
        <v>0</v>
      </c>
      <c r="C32" s="77" t="n">
        <v>0</v>
      </c>
      <c r="D32" s="73" t="n">
        <v>0</v>
      </c>
      <c r="E32" s="77" t="n">
        <v>0</v>
      </c>
      <c r="F32" s="1" t="n">
        <v>114.095</v>
      </c>
      <c r="G32" s="77" t="n">
        <v>2</v>
      </c>
      <c r="H32" s="73" t="n">
        <v>0</v>
      </c>
      <c r="I32" s="77" t="n">
        <v>0</v>
      </c>
      <c r="J32" s="73" t="n">
        <v>0</v>
      </c>
      <c r="K32" s="77" t="n">
        <v>0</v>
      </c>
      <c r="L32" s="73" t="n">
        <v>0</v>
      </c>
      <c r="M32" s="77" t="n">
        <v>0</v>
      </c>
      <c r="N32" s="73" t="n">
        <v>0</v>
      </c>
      <c r="O32" s="77" t="n">
        <v>0</v>
      </c>
      <c r="P32" s="73" t="n">
        <v>0</v>
      </c>
      <c r="Q32" s="77" t="n">
        <v>0</v>
      </c>
      <c r="R32" s="76" t="n">
        <v>0</v>
      </c>
      <c r="S32" s="77" t="n">
        <v>0</v>
      </c>
      <c r="T32" s="73" t="n">
        <v>0</v>
      </c>
      <c r="U32" s="77" t="n">
        <v>0</v>
      </c>
      <c r="V32" s="73" t="n">
        <v>0</v>
      </c>
      <c r="W32" s="77" t="n">
        <v>0</v>
      </c>
      <c r="X32" s="73" t="n">
        <v>0</v>
      </c>
      <c r="Y32" s="77" t="n">
        <v>0</v>
      </c>
      <c r="Z32" s="73" t="n">
        <v>0</v>
      </c>
      <c r="AA32" s="77" t="n">
        <v>0</v>
      </c>
      <c r="AB32" s="73" t="n">
        <v>0</v>
      </c>
      <c r="AC32" s="77" t="n">
        <v>0</v>
      </c>
      <c r="AD32" s="78"/>
    </row>
    <row r="33" customFormat="false" ht="12.75" hidden="false" customHeight="false" outlineLevel="0" collapsed="false">
      <c r="A33" s="39" t="n">
        <v>34</v>
      </c>
      <c r="B33" s="73" t="n">
        <v>0</v>
      </c>
      <c r="C33" s="77" t="n">
        <v>0</v>
      </c>
      <c r="D33" s="73" t="n">
        <v>0</v>
      </c>
      <c r="E33" s="77" t="n">
        <v>0</v>
      </c>
      <c r="F33" s="64" t="n">
        <v>110.85</v>
      </c>
      <c r="G33" s="77" t="n">
        <v>1</v>
      </c>
      <c r="H33" s="73" t="n">
        <v>0</v>
      </c>
      <c r="I33" s="77" t="n">
        <v>0</v>
      </c>
      <c r="J33" s="73" t="n">
        <v>0</v>
      </c>
      <c r="K33" s="77" t="n">
        <v>0</v>
      </c>
      <c r="L33" s="73" t="n">
        <v>0</v>
      </c>
      <c r="M33" s="77" t="n">
        <v>0</v>
      </c>
      <c r="N33" s="73" t="n">
        <v>0</v>
      </c>
      <c r="O33" s="77" t="n">
        <v>0</v>
      </c>
      <c r="P33" s="73" t="n">
        <v>0</v>
      </c>
      <c r="Q33" s="77" t="n">
        <v>0</v>
      </c>
      <c r="R33" s="76" t="n">
        <v>0</v>
      </c>
      <c r="S33" s="77" t="n">
        <v>0</v>
      </c>
      <c r="T33" s="73" t="n">
        <v>0</v>
      </c>
      <c r="U33" s="77" t="n">
        <v>0</v>
      </c>
      <c r="V33" s="73" t="n">
        <v>0</v>
      </c>
      <c r="W33" s="77" t="n">
        <v>0</v>
      </c>
      <c r="X33" s="73" t="n">
        <v>0</v>
      </c>
      <c r="Y33" s="77" t="n">
        <v>0</v>
      </c>
      <c r="Z33" s="73" t="n">
        <v>0</v>
      </c>
      <c r="AA33" s="77" t="n">
        <v>0</v>
      </c>
      <c r="AB33" s="73" t="n">
        <v>0</v>
      </c>
      <c r="AC33" s="77" t="n">
        <v>0</v>
      </c>
      <c r="AD33" s="78"/>
    </row>
    <row r="34" customFormat="false" ht="12.75" hidden="false" customHeight="false" outlineLevel="0" collapsed="false">
      <c r="A34" s="39" t="n">
        <v>35</v>
      </c>
      <c r="B34" s="73" t="n">
        <v>0</v>
      </c>
      <c r="C34" s="77" t="n">
        <v>0</v>
      </c>
      <c r="D34" s="73" t="n">
        <v>0</v>
      </c>
      <c r="E34" s="77" t="n">
        <v>0</v>
      </c>
      <c r="F34" s="64" t="n">
        <v>0</v>
      </c>
      <c r="G34" s="77" t="n">
        <v>0</v>
      </c>
      <c r="H34" s="73" t="n">
        <v>0</v>
      </c>
      <c r="I34" s="77" t="n">
        <v>0</v>
      </c>
      <c r="J34" s="73" t="n">
        <v>0</v>
      </c>
      <c r="K34" s="77" t="n">
        <v>0</v>
      </c>
      <c r="L34" s="73" t="n">
        <v>0</v>
      </c>
      <c r="M34" s="77" t="n">
        <v>0</v>
      </c>
      <c r="N34" s="73" t="n">
        <v>0</v>
      </c>
      <c r="O34" s="77" t="n">
        <v>0</v>
      </c>
      <c r="P34" s="73" t="n">
        <v>0</v>
      </c>
      <c r="Q34" s="77" t="n">
        <v>0</v>
      </c>
      <c r="R34" s="76" t="n">
        <v>0</v>
      </c>
      <c r="S34" s="77" t="n">
        <v>0</v>
      </c>
      <c r="T34" s="73" t="n">
        <v>0</v>
      </c>
      <c r="U34" s="77" t="n">
        <v>0</v>
      </c>
      <c r="V34" s="73" t="n">
        <v>0</v>
      </c>
      <c r="W34" s="77" t="n">
        <v>0</v>
      </c>
      <c r="X34" s="73" t="n">
        <v>0</v>
      </c>
      <c r="Y34" s="77" t="n">
        <v>0</v>
      </c>
      <c r="Z34" s="73" t="n">
        <v>0</v>
      </c>
      <c r="AA34" s="77" t="n">
        <v>0</v>
      </c>
      <c r="AB34" s="73" t="n">
        <v>0</v>
      </c>
      <c r="AC34" s="77" t="n">
        <v>0</v>
      </c>
      <c r="AD34" s="78"/>
    </row>
    <row r="35" customFormat="false" ht="12.75" hidden="false" customHeight="false" outlineLevel="0" collapsed="false">
      <c r="A35" s="47" t="n">
        <v>36</v>
      </c>
      <c r="B35" s="79" t="n">
        <v>0</v>
      </c>
      <c r="C35" s="80" t="n">
        <v>0</v>
      </c>
      <c r="D35" s="79" t="n">
        <v>0</v>
      </c>
      <c r="E35" s="80" t="n">
        <v>0</v>
      </c>
      <c r="F35" s="81" t="n">
        <v>161.73</v>
      </c>
      <c r="G35" s="80" t="n">
        <v>1</v>
      </c>
      <c r="H35" s="79" t="n">
        <v>0</v>
      </c>
      <c r="I35" s="80" t="n">
        <v>0</v>
      </c>
      <c r="J35" s="79" t="n">
        <v>0</v>
      </c>
      <c r="K35" s="80" t="n">
        <v>0</v>
      </c>
      <c r="L35" s="79" t="n">
        <v>0</v>
      </c>
      <c r="M35" s="80" t="n">
        <v>0</v>
      </c>
      <c r="N35" s="79" t="n">
        <v>0</v>
      </c>
      <c r="O35" s="80" t="n">
        <v>0</v>
      </c>
      <c r="P35" s="79" t="n">
        <v>0</v>
      </c>
      <c r="Q35" s="80" t="n">
        <v>0</v>
      </c>
      <c r="R35" s="82" t="n">
        <v>0</v>
      </c>
      <c r="S35" s="80" t="n">
        <v>0</v>
      </c>
      <c r="T35" s="79" t="n">
        <v>0</v>
      </c>
      <c r="U35" s="80" t="n">
        <v>0</v>
      </c>
      <c r="V35" s="79" t="n">
        <v>0</v>
      </c>
      <c r="W35" s="80" t="n">
        <v>0</v>
      </c>
      <c r="X35" s="79" t="n">
        <v>0</v>
      </c>
      <c r="Y35" s="80" t="n">
        <v>0</v>
      </c>
      <c r="Z35" s="79" t="n">
        <v>0</v>
      </c>
      <c r="AA35" s="80" t="n">
        <v>0</v>
      </c>
      <c r="AB35" s="79" t="n">
        <v>0</v>
      </c>
      <c r="AC35" s="80" t="n">
        <v>0</v>
      </c>
      <c r="AD35" s="78"/>
    </row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2">
    <mergeCell ref="A3:A5"/>
    <mergeCell ref="B3:E3"/>
    <mergeCell ref="F3:I3"/>
    <mergeCell ref="J3:M3"/>
    <mergeCell ref="N3:Q3"/>
    <mergeCell ref="R3:U3"/>
    <mergeCell ref="V3:Y3"/>
    <mergeCell ref="Z3:AC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9" activePane="bottomLeft" state="frozen"/>
      <selection pane="topLeft" activeCell="A1" activeCellId="0" sqref="A1"/>
      <selection pane="bottomLeft" activeCell="G141" activeCellId="0" sqref="G141"/>
    </sheetView>
  </sheetViews>
  <sheetFormatPr defaultColWidth="8.74609375" defaultRowHeight="12.75" customHeight="false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10.29"/>
    <col collapsed="false" customWidth="true" hidden="false" outlineLevel="0" max="3" min="3" style="1" width="27.57"/>
    <col collapsed="false" customWidth="true" hidden="false" outlineLevel="0" max="4" min="4" style="1" width="30"/>
    <col collapsed="false" customWidth="true" hidden="false" outlineLevel="0" max="7" min="6" style="1" width="14.57"/>
    <col collapsed="false" customWidth="true" hidden="false" outlineLevel="0" max="16384" min="16383" style="1" width="12.67"/>
  </cols>
  <sheetData>
    <row r="1" customFormat="false" ht="12.75" hidden="false" customHeight="false" outlineLevel="0" collapsed="false">
      <c r="A1" s="1" t="s">
        <v>284</v>
      </c>
    </row>
    <row r="3" customFormat="false" ht="12.75" hidden="false" customHeight="false" outlineLevel="0" collapsed="false">
      <c r="A3" s="81"/>
      <c r="B3" s="46"/>
      <c r="C3" s="83" t="s">
        <v>285</v>
      </c>
      <c r="D3" s="84"/>
    </row>
    <row r="4" customFormat="false" ht="12.75" hidden="false" customHeight="false" outlineLevel="0" collapsed="false">
      <c r="A4" s="85" t="s">
        <v>73</v>
      </c>
      <c r="B4" s="86" t="s">
        <v>74</v>
      </c>
      <c r="C4" s="87" t="s">
        <v>286</v>
      </c>
      <c r="D4" s="88" t="s">
        <v>287</v>
      </c>
    </row>
    <row r="5" customFormat="false" ht="12.75" hidden="false" customHeight="false" outlineLevel="0" collapsed="false">
      <c r="A5" s="89" t="s">
        <v>86</v>
      </c>
      <c r="B5" s="90" t="s">
        <v>87</v>
      </c>
      <c r="C5" s="78" t="n">
        <v>40385.5125228951</v>
      </c>
      <c r="D5" s="91" t="n">
        <v>0</v>
      </c>
      <c r="F5" s="92"/>
      <c r="I5" s="78"/>
    </row>
    <row r="6" customFormat="false" ht="12.75" hidden="false" customHeight="false" outlineLevel="0" collapsed="false">
      <c r="A6" s="93" t="s">
        <v>86</v>
      </c>
      <c r="B6" s="94" t="s">
        <v>93</v>
      </c>
      <c r="C6" s="78" t="n">
        <v>68479.7821040395</v>
      </c>
      <c r="D6" s="91" t="n">
        <v>0</v>
      </c>
      <c r="F6" s="92"/>
    </row>
    <row r="7" customFormat="false" ht="12.75" hidden="false" customHeight="false" outlineLevel="0" collapsed="false">
      <c r="A7" s="93" t="s">
        <v>86</v>
      </c>
      <c r="B7" s="94" t="s">
        <v>96</v>
      </c>
      <c r="C7" s="78" t="n">
        <v>140.471347905722</v>
      </c>
      <c r="D7" s="91" t="n">
        <v>0</v>
      </c>
      <c r="F7" s="92"/>
    </row>
    <row r="8" customFormat="false" ht="12.75" hidden="false" customHeight="false" outlineLevel="0" collapsed="false">
      <c r="A8" s="93" t="s">
        <v>86</v>
      </c>
      <c r="B8" s="94" t="s">
        <v>99</v>
      </c>
      <c r="C8" s="78" t="n">
        <v>21070.7021858583</v>
      </c>
      <c r="D8" s="91" t="n">
        <v>0</v>
      </c>
      <c r="F8" s="92"/>
    </row>
    <row r="9" customFormat="false" ht="12.75" hidden="false" customHeight="false" outlineLevel="0" collapsed="false">
      <c r="A9" s="93" t="s">
        <v>86</v>
      </c>
      <c r="B9" s="94" t="s">
        <v>102</v>
      </c>
      <c r="C9" s="78" t="n">
        <v>1316.91888661614</v>
      </c>
      <c r="D9" s="91" t="n">
        <v>0</v>
      </c>
      <c r="F9" s="92"/>
    </row>
    <row r="10" customFormat="false" ht="12.75" hidden="false" customHeight="false" outlineLevel="0" collapsed="false">
      <c r="A10" s="93" t="s">
        <v>86</v>
      </c>
      <c r="B10" s="94" t="s">
        <v>105</v>
      </c>
      <c r="C10" s="78" t="n">
        <v>0</v>
      </c>
      <c r="D10" s="91" t="n">
        <v>0</v>
      </c>
      <c r="F10" s="92"/>
    </row>
    <row r="11" customFormat="false" ht="12.75" hidden="false" customHeight="false" outlineLevel="0" collapsed="false">
      <c r="A11" s="93" t="s">
        <v>86</v>
      </c>
      <c r="B11" s="94" t="s">
        <v>106</v>
      </c>
      <c r="C11" s="78" t="n">
        <v>614.562147087534</v>
      </c>
      <c r="D11" s="91" t="n">
        <v>0</v>
      </c>
      <c r="F11" s="92"/>
    </row>
    <row r="12" customFormat="false" ht="12.75" hidden="false" customHeight="false" outlineLevel="0" collapsed="false">
      <c r="A12" s="93" t="s">
        <v>86</v>
      </c>
      <c r="B12" s="94" t="s">
        <v>111</v>
      </c>
      <c r="C12" s="78" t="n">
        <v>5794.44310111104</v>
      </c>
      <c r="D12" s="91" t="n">
        <v>0</v>
      </c>
      <c r="F12" s="92"/>
    </row>
    <row r="13" customFormat="false" ht="12.75" hidden="false" customHeight="false" outlineLevel="0" collapsed="false">
      <c r="A13" s="93" t="s">
        <v>86</v>
      </c>
      <c r="B13" s="94" t="s">
        <v>114</v>
      </c>
      <c r="C13" s="78" t="n">
        <v>105.353510929292</v>
      </c>
      <c r="D13" s="91" t="n">
        <v>0</v>
      </c>
      <c r="F13" s="92"/>
    </row>
    <row r="14" customFormat="false" ht="12.75" hidden="false" customHeight="false" outlineLevel="0" collapsed="false">
      <c r="A14" s="93" t="s">
        <v>86</v>
      </c>
      <c r="B14" s="94" t="s">
        <v>115</v>
      </c>
      <c r="C14" s="78" t="n">
        <v>0</v>
      </c>
      <c r="D14" s="91" t="n">
        <v>0</v>
      </c>
      <c r="F14" s="92"/>
    </row>
    <row r="15" customFormat="false" ht="12.75" hidden="false" customHeight="false" outlineLevel="0" collapsed="false">
      <c r="A15" s="93" t="s">
        <v>86</v>
      </c>
      <c r="B15" s="94" t="s">
        <v>117</v>
      </c>
      <c r="C15" s="78" t="n">
        <v>3687.3728825252</v>
      </c>
      <c r="D15" s="91" t="n">
        <v>0</v>
      </c>
      <c r="F15" s="92"/>
    </row>
    <row r="16" customFormat="false" ht="12.75" hidden="false" customHeight="false" outlineLevel="0" collapsed="false">
      <c r="A16" s="93" t="s">
        <v>86</v>
      </c>
      <c r="B16" s="94" t="s">
        <v>118</v>
      </c>
      <c r="C16" s="78" t="n">
        <v>702.35673952861</v>
      </c>
      <c r="D16" s="91" t="n">
        <v>0</v>
      </c>
      <c r="F16" s="92"/>
    </row>
    <row r="17" customFormat="false" ht="12.75" hidden="false" customHeight="false" outlineLevel="0" collapsed="false">
      <c r="A17" s="93" t="s">
        <v>86</v>
      </c>
      <c r="B17" s="94" t="s">
        <v>119</v>
      </c>
      <c r="C17" s="78" t="n">
        <v>18261.2752277439</v>
      </c>
      <c r="D17" s="91" t="n">
        <v>0</v>
      </c>
      <c r="F17" s="92"/>
    </row>
    <row r="18" customFormat="false" ht="12.75" hidden="false" customHeight="false" outlineLevel="0" collapsed="false">
      <c r="A18" s="93" t="s">
        <v>86</v>
      </c>
      <c r="B18" s="94" t="s">
        <v>120</v>
      </c>
      <c r="C18" s="78" t="n">
        <v>0</v>
      </c>
      <c r="D18" s="91" t="n">
        <v>0</v>
      </c>
      <c r="F18" s="92"/>
    </row>
    <row r="19" customFormat="false" ht="12.75" hidden="false" customHeight="false" outlineLevel="0" collapsed="false">
      <c r="A19" s="93" t="s">
        <v>86</v>
      </c>
      <c r="B19" s="94" t="s">
        <v>121</v>
      </c>
      <c r="C19" s="78" t="n">
        <v>0</v>
      </c>
      <c r="D19" s="91" t="n">
        <v>0</v>
      </c>
      <c r="F19" s="92"/>
    </row>
    <row r="20" customFormat="false" ht="12.75" hidden="false" customHeight="false" outlineLevel="0" collapsed="false">
      <c r="A20" s="93" t="s">
        <v>86</v>
      </c>
      <c r="B20" s="94" t="s">
        <v>122</v>
      </c>
      <c r="C20" s="78" t="n">
        <v>4126.34584473059</v>
      </c>
      <c r="D20" s="91" t="n">
        <v>0</v>
      </c>
      <c r="F20" s="92"/>
    </row>
    <row r="21" customFormat="false" ht="12.75" hidden="false" customHeight="false" outlineLevel="0" collapsed="false">
      <c r="A21" s="93" t="s">
        <v>86</v>
      </c>
      <c r="B21" s="94" t="s">
        <v>125</v>
      </c>
      <c r="C21" s="78" t="n">
        <v>0</v>
      </c>
      <c r="D21" s="91" t="n">
        <v>0</v>
      </c>
      <c r="F21" s="92"/>
    </row>
    <row r="22" customFormat="false" ht="12.75" hidden="false" customHeight="false" outlineLevel="0" collapsed="false">
      <c r="A22" s="93" t="s">
        <v>86</v>
      </c>
      <c r="B22" s="94" t="s">
        <v>126</v>
      </c>
      <c r="C22" s="78" t="n">
        <v>14749.4915301008</v>
      </c>
      <c r="D22" s="91" t="n">
        <v>0</v>
      </c>
      <c r="F22" s="92"/>
    </row>
    <row r="23" customFormat="false" ht="12.75" hidden="false" customHeight="false" outlineLevel="0" collapsed="false">
      <c r="A23" s="93" t="s">
        <v>86</v>
      </c>
      <c r="B23" s="94" t="s">
        <v>127</v>
      </c>
      <c r="C23" s="78" t="n">
        <v>0</v>
      </c>
      <c r="D23" s="91" t="n">
        <v>0</v>
      </c>
      <c r="F23" s="92"/>
      <c r="I23" s="95"/>
    </row>
    <row r="24" customFormat="false" ht="12.75" hidden="false" customHeight="false" outlineLevel="0" collapsed="false">
      <c r="A24" s="93" t="s">
        <v>86</v>
      </c>
      <c r="B24" s="94" t="s">
        <v>128</v>
      </c>
      <c r="C24" s="78" t="n">
        <v>790.151331969687</v>
      </c>
      <c r="D24" s="91" t="n">
        <v>0</v>
      </c>
      <c r="F24" s="92"/>
    </row>
    <row r="25" customFormat="false" ht="12.75" hidden="false" customHeight="false" outlineLevel="0" collapsed="false">
      <c r="A25" s="93" t="s">
        <v>86</v>
      </c>
      <c r="B25" s="94" t="s">
        <v>129</v>
      </c>
      <c r="C25" s="78" t="n">
        <v>0</v>
      </c>
      <c r="D25" s="91" t="n">
        <v>0</v>
      </c>
      <c r="F25" s="92"/>
    </row>
    <row r="26" customFormat="false" ht="12.75" hidden="false" customHeight="false" outlineLevel="0" collapsed="false">
      <c r="A26" s="93" t="s">
        <v>86</v>
      </c>
      <c r="B26" s="94" t="s">
        <v>130</v>
      </c>
      <c r="C26" s="78" t="n">
        <v>9130.63761387193</v>
      </c>
      <c r="D26" s="91" t="n">
        <v>0</v>
      </c>
      <c r="F26" s="92"/>
    </row>
    <row r="27" customFormat="false" ht="12.75" hidden="false" customHeight="false" outlineLevel="0" collapsed="false">
      <c r="A27" s="93" t="s">
        <v>86</v>
      </c>
      <c r="B27" s="94" t="s">
        <v>131</v>
      </c>
      <c r="C27" s="78" t="n">
        <v>526.767554646458</v>
      </c>
      <c r="D27" s="91" t="n">
        <v>0</v>
      </c>
      <c r="F27" s="92"/>
    </row>
    <row r="28" customFormat="false" ht="12.75" hidden="false" customHeight="false" outlineLevel="0" collapsed="false">
      <c r="A28" s="93" t="s">
        <v>132</v>
      </c>
      <c r="B28" s="94" t="s">
        <v>133</v>
      </c>
      <c r="C28" s="78" t="n">
        <v>63639.6676138832</v>
      </c>
      <c r="D28" s="91" t="n">
        <v>2113.77629192561</v>
      </c>
      <c r="F28" s="92"/>
    </row>
    <row r="29" customFormat="false" ht="12.75" hidden="false" customHeight="false" outlineLevel="0" collapsed="false">
      <c r="A29" s="93" t="s">
        <v>132</v>
      </c>
      <c r="B29" s="94" t="s">
        <v>135</v>
      </c>
      <c r="C29" s="78" t="n">
        <v>51880.1638156657</v>
      </c>
      <c r="D29" s="91" t="n">
        <v>845.510516770245</v>
      </c>
      <c r="F29" s="92"/>
    </row>
    <row r="30" customFormat="false" ht="12.75" hidden="false" customHeight="false" outlineLevel="0" collapsed="false">
      <c r="A30" s="93" t="s">
        <v>132</v>
      </c>
      <c r="B30" s="94" t="s">
        <v>137</v>
      </c>
      <c r="C30" s="78" t="n">
        <v>46692.1474340991</v>
      </c>
      <c r="D30" s="91" t="n">
        <v>549.581835900659</v>
      </c>
      <c r="F30" s="92"/>
    </row>
    <row r="31" customFormat="false" ht="12.75" hidden="false" customHeight="false" outlineLevel="0" collapsed="false">
      <c r="A31" s="93" t="s">
        <v>132</v>
      </c>
      <c r="B31" s="94" t="s">
        <v>138</v>
      </c>
      <c r="C31" s="78" t="n">
        <v>41504.1310525325</v>
      </c>
      <c r="D31" s="91" t="n">
        <v>760.95946509322</v>
      </c>
      <c r="F31" s="92"/>
    </row>
    <row r="32" customFormat="false" ht="12.75" hidden="false" customHeight="false" outlineLevel="0" collapsed="false">
      <c r="A32" s="93" t="s">
        <v>132</v>
      </c>
      <c r="B32" s="94" t="s">
        <v>140</v>
      </c>
      <c r="C32" s="78" t="n">
        <v>34.5867758771104</v>
      </c>
      <c r="D32" s="91" t="n">
        <v>0</v>
      </c>
      <c r="F32" s="92"/>
    </row>
    <row r="33" customFormat="false" ht="12.75" hidden="false" customHeight="false" outlineLevel="0" collapsed="false">
      <c r="A33" s="93" t="s">
        <v>132</v>
      </c>
      <c r="B33" s="94" t="s">
        <v>141</v>
      </c>
      <c r="C33" s="78" t="n">
        <v>48421.4862279546</v>
      </c>
      <c r="D33" s="91" t="n">
        <v>1268.26577515537</v>
      </c>
      <c r="F33" s="92"/>
    </row>
    <row r="34" customFormat="false" ht="12.75" hidden="false" customHeight="false" outlineLevel="0" collapsed="false">
      <c r="A34" s="93" t="s">
        <v>132</v>
      </c>
      <c r="B34" s="94" t="s">
        <v>142</v>
      </c>
      <c r="C34" s="78" t="n">
        <v>2075.20655262663</v>
      </c>
      <c r="D34" s="91" t="n">
        <v>0</v>
      </c>
      <c r="F34" s="92"/>
    </row>
    <row r="35" customFormat="false" ht="12.75" hidden="false" customHeight="false" outlineLevel="0" collapsed="false">
      <c r="A35" s="93" t="s">
        <v>132</v>
      </c>
      <c r="B35" s="94" t="s">
        <v>143</v>
      </c>
      <c r="C35" s="78" t="n">
        <v>0</v>
      </c>
      <c r="D35" s="91" t="n">
        <v>0</v>
      </c>
      <c r="F35" s="92"/>
    </row>
    <row r="36" customFormat="false" ht="12.75" hidden="false" customHeight="false" outlineLevel="0" collapsed="false">
      <c r="A36" s="93" t="s">
        <v>132</v>
      </c>
      <c r="B36" s="94" t="s">
        <v>144</v>
      </c>
      <c r="C36" s="78" t="n">
        <v>691.735517542209</v>
      </c>
      <c r="D36" s="91" t="n">
        <v>0</v>
      </c>
      <c r="F36" s="92"/>
    </row>
    <row r="37" customFormat="false" ht="12.75" hidden="false" customHeight="false" outlineLevel="0" collapsed="false">
      <c r="A37" s="93" t="s">
        <v>132</v>
      </c>
      <c r="B37" s="94" t="s">
        <v>145</v>
      </c>
      <c r="C37" s="78" t="n">
        <v>6225.61965787988</v>
      </c>
      <c r="D37" s="91" t="n">
        <v>0</v>
      </c>
      <c r="F37" s="92"/>
    </row>
    <row r="38" customFormat="false" ht="12.75" hidden="false" customHeight="false" outlineLevel="0" collapsed="false">
      <c r="A38" s="93" t="s">
        <v>132</v>
      </c>
      <c r="B38" s="94" t="s">
        <v>146</v>
      </c>
      <c r="C38" s="78" t="n">
        <v>8646.69396927761</v>
      </c>
      <c r="D38" s="91" t="n">
        <v>0</v>
      </c>
      <c r="F38" s="92"/>
    </row>
    <row r="39" customFormat="false" ht="12.75" hidden="false" customHeight="false" outlineLevel="0" collapsed="false">
      <c r="A39" s="93" t="s">
        <v>132</v>
      </c>
      <c r="B39" s="94" t="s">
        <v>147</v>
      </c>
      <c r="C39" s="78" t="n">
        <v>31819.8338069416</v>
      </c>
      <c r="D39" s="91" t="n">
        <v>0</v>
      </c>
      <c r="F39" s="92"/>
    </row>
    <row r="40" customFormat="false" ht="12.75" hidden="false" customHeight="false" outlineLevel="0" collapsed="false">
      <c r="A40" s="93" t="s">
        <v>132</v>
      </c>
      <c r="B40" s="94" t="s">
        <v>148</v>
      </c>
      <c r="C40" s="78" t="n">
        <v>39774.792258677</v>
      </c>
      <c r="D40" s="91" t="n">
        <v>1479.64340434793</v>
      </c>
      <c r="F40" s="92"/>
    </row>
    <row r="41" customFormat="false" ht="12.75" hidden="false" customHeight="false" outlineLevel="0" collapsed="false">
      <c r="A41" s="93" t="s">
        <v>132</v>
      </c>
      <c r="B41" s="94" t="s">
        <v>149</v>
      </c>
      <c r="C41" s="78" t="n">
        <v>77820.2457234985</v>
      </c>
      <c r="D41" s="91" t="n">
        <v>2536.53155031073</v>
      </c>
      <c r="F41" s="92"/>
    </row>
    <row r="42" customFormat="false" ht="12.75" hidden="false" customHeight="false" outlineLevel="0" collapsed="false">
      <c r="A42" s="93" t="s">
        <v>132</v>
      </c>
      <c r="B42" s="94" t="s">
        <v>150</v>
      </c>
      <c r="C42" s="78" t="n">
        <v>13834.7103508442</v>
      </c>
      <c r="D42" s="91" t="n">
        <v>0</v>
      </c>
      <c r="F42" s="92"/>
    </row>
    <row r="43" customFormat="false" ht="12.75" hidden="false" customHeight="false" outlineLevel="0" collapsed="false">
      <c r="A43" s="93" t="s">
        <v>132</v>
      </c>
      <c r="B43" s="94" t="s">
        <v>151</v>
      </c>
      <c r="C43" s="78" t="n">
        <v>0</v>
      </c>
      <c r="D43" s="91" t="n">
        <v>0</v>
      </c>
      <c r="F43" s="92"/>
    </row>
    <row r="44" customFormat="false" ht="12.75" hidden="false" customHeight="false" outlineLevel="0" collapsed="false">
      <c r="A44" s="93" t="s">
        <v>132</v>
      </c>
      <c r="B44" s="94" t="s">
        <v>152</v>
      </c>
      <c r="C44" s="78" t="n">
        <v>21789.6688025796</v>
      </c>
      <c r="D44" s="91" t="n">
        <v>0</v>
      </c>
      <c r="F44" s="92"/>
    </row>
    <row r="45" customFormat="false" ht="12.75" hidden="false" customHeight="false" outlineLevel="0" collapsed="false">
      <c r="A45" s="93" t="s">
        <v>132</v>
      </c>
      <c r="B45" s="94" t="s">
        <v>154</v>
      </c>
      <c r="C45" s="78" t="n">
        <v>164287.185416275</v>
      </c>
      <c r="D45" s="91" t="n">
        <v>4227.55258385122</v>
      </c>
      <c r="F45" s="92"/>
    </row>
    <row r="46" customFormat="false" ht="12.75" hidden="false" customHeight="false" outlineLevel="0" collapsed="false">
      <c r="A46" s="93" t="s">
        <v>132</v>
      </c>
      <c r="B46" s="94" t="s">
        <v>155</v>
      </c>
      <c r="C46" s="78" t="n">
        <v>34.5867758771104</v>
      </c>
      <c r="D46" s="91" t="n">
        <v>0</v>
      </c>
      <c r="F46" s="92"/>
    </row>
    <row r="47" customFormat="false" ht="12.75" hidden="false" customHeight="false" outlineLevel="0" collapsed="false">
      <c r="A47" s="93" t="s">
        <v>132</v>
      </c>
      <c r="B47" s="94" t="s">
        <v>156</v>
      </c>
      <c r="C47" s="78" t="n">
        <v>172.933879385552</v>
      </c>
      <c r="D47" s="91" t="n">
        <v>0</v>
      </c>
      <c r="F47" s="92"/>
    </row>
    <row r="48" customFormat="false" ht="12.75" hidden="false" customHeight="false" outlineLevel="0" collapsed="false">
      <c r="A48" s="93" t="s">
        <v>132</v>
      </c>
      <c r="B48" s="94" t="s">
        <v>157</v>
      </c>
      <c r="C48" s="78" t="n">
        <v>0</v>
      </c>
      <c r="D48" s="91" t="n">
        <v>0</v>
      </c>
      <c r="F48" s="92"/>
    </row>
    <row r="49" customFormat="false" ht="12.75" hidden="false" customHeight="false" outlineLevel="0" collapsed="false">
      <c r="A49" s="93" t="s">
        <v>132</v>
      </c>
      <c r="B49" s="94" t="s">
        <v>158</v>
      </c>
      <c r="C49" s="78" t="n">
        <v>2594.00819078328</v>
      </c>
      <c r="D49" s="91" t="n">
        <v>0</v>
      </c>
      <c r="F49" s="92"/>
    </row>
    <row r="50" customFormat="false" ht="12.75" hidden="false" customHeight="false" outlineLevel="0" collapsed="false">
      <c r="A50" s="93" t="s">
        <v>132</v>
      </c>
      <c r="B50" s="94" t="s">
        <v>159</v>
      </c>
      <c r="C50" s="78" t="n">
        <v>43233.469846388</v>
      </c>
      <c r="D50" s="91" t="n">
        <v>42.2755258385122</v>
      </c>
      <c r="F50" s="92"/>
    </row>
    <row r="51" customFormat="false" ht="12.75" hidden="false" customHeight="false" outlineLevel="0" collapsed="false">
      <c r="A51" s="93" t="s">
        <v>161</v>
      </c>
      <c r="B51" s="94" t="s">
        <v>162</v>
      </c>
      <c r="C51" s="78" t="n">
        <v>7553.97253365889</v>
      </c>
      <c r="D51" s="91" t="n">
        <v>0</v>
      </c>
      <c r="F51" s="92"/>
    </row>
    <row r="52" customFormat="false" ht="12.75" hidden="false" customHeight="false" outlineLevel="0" collapsed="false">
      <c r="A52" s="93" t="s">
        <v>161</v>
      </c>
      <c r="B52" s="94" t="s">
        <v>164</v>
      </c>
      <c r="C52" s="78" t="n">
        <v>5665.47940024417</v>
      </c>
      <c r="D52" s="91" t="n">
        <v>0</v>
      </c>
      <c r="F52" s="92"/>
    </row>
    <row r="53" customFormat="false" ht="12.75" hidden="false" customHeight="false" outlineLevel="0" collapsed="false">
      <c r="A53" s="93" t="s">
        <v>161</v>
      </c>
      <c r="B53" s="94" t="s">
        <v>165</v>
      </c>
      <c r="C53" s="78" t="n">
        <v>47.2123283353681</v>
      </c>
      <c r="D53" s="91" t="n">
        <v>0</v>
      </c>
      <c r="F53" s="92"/>
    </row>
    <row r="54" customFormat="false" ht="12.75" hidden="false" customHeight="false" outlineLevel="0" collapsed="false">
      <c r="A54" s="93" t="s">
        <v>161</v>
      </c>
      <c r="B54" s="94" t="s">
        <v>167</v>
      </c>
      <c r="C54" s="78" t="n">
        <v>944.246566707361</v>
      </c>
      <c r="D54" s="91" t="n">
        <v>0</v>
      </c>
      <c r="F54" s="92"/>
    </row>
    <row r="55" customFormat="false" ht="12.75" hidden="false" customHeight="false" outlineLevel="0" collapsed="false">
      <c r="A55" s="93" t="s">
        <v>161</v>
      </c>
      <c r="B55" s="94" t="s">
        <v>168</v>
      </c>
      <c r="C55" s="78" t="n">
        <v>0</v>
      </c>
      <c r="D55" s="91" t="n">
        <v>0</v>
      </c>
      <c r="F55" s="92"/>
    </row>
    <row r="56" customFormat="false" ht="12.75" hidden="false" customHeight="false" outlineLevel="0" collapsed="false">
      <c r="A56" s="93" t="s">
        <v>161</v>
      </c>
      <c r="B56" s="94" t="s">
        <v>169</v>
      </c>
      <c r="C56" s="78" t="n">
        <v>755.397253365889</v>
      </c>
      <c r="D56" s="91" t="n">
        <v>0</v>
      </c>
      <c r="F56" s="92"/>
    </row>
    <row r="57" customFormat="false" ht="12.75" hidden="false" customHeight="false" outlineLevel="0" collapsed="false">
      <c r="A57" s="93" t="s">
        <v>161</v>
      </c>
      <c r="B57" s="94" t="s">
        <v>170</v>
      </c>
      <c r="C57" s="78" t="n">
        <v>66097.2596695153</v>
      </c>
      <c r="D57" s="91" t="n">
        <v>17146.2159920714</v>
      </c>
      <c r="F57" s="92"/>
    </row>
    <row r="58" customFormat="false" ht="12.75" hidden="false" customHeight="false" outlineLevel="0" collapsed="false">
      <c r="A58" s="93" t="s">
        <v>161</v>
      </c>
      <c r="B58" s="94" t="s">
        <v>171</v>
      </c>
      <c r="C58" s="78" t="n">
        <v>47.2123283353681</v>
      </c>
      <c r="D58" s="91" t="n">
        <v>0</v>
      </c>
      <c r="F58" s="92"/>
    </row>
    <row r="59" customFormat="false" ht="12.75" hidden="false" customHeight="false" outlineLevel="0" collapsed="false">
      <c r="A59" s="93" t="s">
        <v>161</v>
      </c>
      <c r="B59" s="94" t="s">
        <v>173</v>
      </c>
      <c r="C59" s="78" t="n">
        <v>944.246566707361</v>
      </c>
      <c r="D59" s="91" t="n">
        <v>0</v>
      </c>
      <c r="F59" s="92"/>
    </row>
    <row r="60" customFormat="false" ht="12.75" hidden="false" customHeight="false" outlineLevel="0" collapsed="false">
      <c r="A60" s="96" t="s">
        <v>161</v>
      </c>
      <c r="B60" s="86" t="s">
        <v>174</v>
      </c>
      <c r="C60" s="97" t="n">
        <v>0</v>
      </c>
      <c r="D60" s="98" t="n">
        <v>0</v>
      </c>
      <c r="F60" s="92"/>
    </row>
    <row r="61" customFormat="false" ht="12.75" hidden="false" customHeight="false" outlineLevel="0" collapsed="false">
      <c r="A61" s="93" t="s">
        <v>175</v>
      </c>
      <c r="B61" s="94" t="s">
        <v>176</v>
      </c>
      <c r="C61" s="78" t="n">
        <v>0</v>
      </c>
      <c r="D61" s="91" t="n">
        <v>0</v>
      </c>
      <c r="F61" s="92"/>
    </row>
    <row r="62" customFormat="false" ht="12.75" hidden="false" customHeight="false" outlineLevel="0" collapsed="false">
      <c r="A62" s="93" t="s">
        <v>175</v>
      </c>
      <c r="B62" s="94" t="s">
        <v>178</v>
      </c>
      <c r="C62" s="78" t="n">
        <v>0</v>
      </c>
      <c r="D62" s="91" t="n">
        <v>795.297152397173</v>
      </c>
      <c r="F62" s="92"/>
    </row>
    <row r="63" customFormat="false" ht="12.75" hidden="false" customHeight="false" outlineLevel="0" collapsed="false">
      <c r="A63" s="93" t="s">
        <v>175</v>
      </c>
      <c r="B63" s="94" t="s">
        <v>180</v>
      </c>
      <c r="C63" s="78" t="n">
        <v>0</v>
      </c>
      <c r="D63" s="91" t="n">
        <v>216.899223381047</v>
      </c>
      <c r="F63" s="92"/>
    </row>
    <row r="64" customFormat="false" ht="12.75" hidden="false" customHeight="false" outlineLevel="0" collapsed="false">
      <c r="A64" s="93" t="s">
        <v>175</v>
      </c>
      <c r="B64" s="94" t="s">
        <v>181</v>
      </c>
      <c r="C64" s="78" t="n">
        <v>0</v>
      </c>
      <c r="D64" s="91" t="n">
        <v>0</v>
      </c>
      <c r="F64" s="92"/>
    </row>
    <row r="65" customFormat="false" ht="12.75" hidden="false" customHeight="false" outlineLevel="0" collapsed="false">
      <c r="A65" s="93" t="s">
        <v>175</v>
      </c>
      <c r="B65" s="94" t="s">
        <v>183</v>
      </c>
      <c r="C65" s="78" t="n">
        <v>0</v>
      </c>
      <c r="D65" s="91" t="n">
        <v>144.599482254031</v>
      </c>
      <c r="F65" s="92"/>
    </row>
    <row r="66" customFormat="false" ht="12.75" hidden="false" customHeight="false" outlineLevel="0" collapsed="false">
      <c r="A66" s="93" t="s">
        <v>175</v>
      </c>
      <c r="B66" s="94" t="s">
        <v>184</v>
      </c>
      <c r="C66" s="78" t="n">
        <v>0</v>
      </c>
      <c r="D66" s="91" t="n">
        <v>0</v>
      </c>
      <c r="F66" s="92"/>
    </row>
    <row r="67" customFormat="false" ht="12.75" hidden="false" customHeight="false" outlineLevel="0" collapsed="false">
      <c r="A67" s="93" t="s">
        <v>175</v>
      </c>
      <c r="B67" s="94" t="s">
        <v>185</v>
      </c>
      <c r="C67" s="78" t="n">
        <v>0</v>
      </c>
      <c r="D67" s="91" t="n">
        <v>289.198964508063</v>
      </c>
      <c r="F67" s="92"/>
    </row>
    <row r="68" customFormat="false" ht="12.75" hidden="false" customHeight="false" outlineLevel="0" collapsed="false">
      <c r="A68" s="93" t="s">
        <v>175</v>
      </c>
      <c r="B68" s="94" t="s">
        <v>187</v>
      </c>
      <c r="C68" s="78" t="n">
        <v>0</v>
      </c>
      <c r="D68" s="91" t="n">
        <v>0</v>
      </c>
      <c r="F68" s="92"/>
    </row>
    <row r="69" customFormat="false" ht="12.75" hidden="false" customHeight="false" outlineLevel="0" collapsed="false">
      <c r="A69" s="93" t="s">
        <v>188</v>
      </c>
      <c r="B69" s="94" t="s">
        <v>189</v>
      </c>
      <c r="C69" s="78" t="n">
        <v>0</v>
      </c>
      <c r="D69" s="91" t="n">
        <v>2414.99504957863</v>
      </c>
      <c r="F69" s="92"/>
    </row>
    <row r="70" customFormat="false" ht="12.75" hidden="false" customHeight="false" outlineLevel="0" collapsed="false">
      <c r="A70" s="93" t="s">
        <v>188</v>
      </c>
      <c r="B70" s="94" t="s">
        <v>192</v>
      </c>
      <c r="C70" s="78" t="n">
        <v>18826.5178001288</v>
      </c>
      <c r="D70" s="91" t="n">
        <v>1448.99702974718</v>
      </c>
      <c r="F70" s="92"/>
    </row>
    <row r="71" customFormat="false" ht="12.75" hidden="false" customHeight="false" outlineLevel="0" collapsed="false">
      <c r="A71" s="93" t="s">
        <v>188</v>
      </c>
      <c r="B71" s="94" t="s">
        <v>194</v>
      </c>
      <c r="C71" s="78" t="n">
        <v>0</v>
      </c>
      <c r="D71" s="91" t="n">
        <v>0</v>
      </c>
      <c r="F71" s="92"/>
    </row>
    <row r="72" customFormat="false" ht="12.75" hidden="false" customHeight="false" outlineLevel="0" collapsed="false">
      <c r="A72" s="93" t="s">
        <v>188</v>
      </c>
      <c r="B72" s="94" t="s">
        <v>195</v>
      </c>
      <c r="C72" s="78" t="n">
        <v>62.7550593337628</v>
      </c>
      <c r="D72" s="91" t="n">
        <v>3380.99306941009</v>
      </c>
      <c r="F72" s="92"/>
    </row>
    <row r="73" customFormat="false" ht="12.75" hidden="false" customHeight="false" outlineLevel="0" collapsed="false">
      <c r="A73" s="93" t="s">
        <v>188</v>
      </c>
      <c r="B73" s="94" t="s">
        <v>196</v>
      </c>
      <c r="C73" s="78" t="n">
        <v>4392.8541533634</v>
      </c>
      <c r="D73" s="91" t="n">
        <v>6278.98712890445</v>
      </c>
      <c r="F73" s="92"/>
    </row>
    <row r="74" customFormat="false" ht="12.75" hidden="false" customHeight="false" outlineLevel="0" collapsed="false">
      <c r="A74" s="93" t="s">
        <v>188</v>
      </c>
      <c r="B74" s="94" t="s">
        <v>197</v>
      </c>
      <c r="C74" s="78" t="n">
        <v>125.510118667526</v>
      </c>
      <c r="D74" s="91" t="n">
        <v>16421.9663371347</v>
      </c>
      <c r="F74" s="92"/>
    </row>
    <row r="75" customFormat="false" ht="12.75" hidden="false" customHeight="false" outlineLevel="0" collapsed="false">
      <c r="A75" s="93" t="s">
        <v>188</v>
      </c>
      <c r="B75" s="94" t="s">
        <v>199</v>
      </c>
      <c r="C75" s="78" t="n">
        <v>1004.0809493402</v>
      </c>
      <c r="D75" s="91" t="n">
        <v>1448.99702974718</v>
      </c>
      <c r="F75" s="92"/>
    </row>
    <row r="76" customFormat="false" ht="12.75" hidden="false" customHeight="false" outlineLevel="0" collapsed="false">
      <c r="A76" s="93" t="s">
        <v>188</v>
      </c>
      <c r="B76" s="94" t="s">
        <v>200</v>
      </c>
      <c r="C76" s="78" t="n">
        <v>0</v>
      </c>
      <c r="D76" s="91" t="n">
        <v>579.598811898872</v>
      </c>
      <c r="F76" s="92"/>
    </row>
    <row r="77" customFormat="false" ht="12.75" hidden="false" customHeight="false" outlineLevel="0" collapsed="false">
      <c r="A77" s="93" t="s">
        <v>188</v>
      </c>
      <c r="B77" s="94" t="s">
        <v>202</v>
      </c>
      <c r="C77" s="78" t="n">
        <v>62.7550593337628</v>
      </c>
      <c r="D77" s="91" t="n">
        <v>676.198613882017</v>
      </c>
      <c r="F77" s="92"/>
    </row>
    <row r="78" customFormat="false" ht="12.75" hidden="false" customHeight="false" outlineLevel="0" collapsed="false">
      <c r="A78" s="93" t="s">
        <v>188</v>
      </c>
      <c r="B78" s="94" t="s">
        <v>203</v>
      </c>
      <c r="C78" s="78" t="n">
        <v>0</v>
      </c>
      <c r="D78" s="91" t="n">
        <v>0</v>
      </c>
      <c r="F78" s="92"/>
    </row>
    <row r="79" customFormat="false" ht="12.75" hidden="false" customHeight="false" outlineLevel="0" collapsed="false">
      <c r="A79" s="93" t="s">
        <v>188</v>
      </c>
      <c r="B79" s="94" t="s">
        <v>204</v>
      </c>
      <c r="C79" s="78" t="n">
        <v>0</v>
      </c>
      <c r="D79" s="91" t="n">
        <v>386.399207932581</v>
      </c>
      <c r="F79" s="92"/>
    </row>
    <row r="80" customFormat="false" ht="12.75" hidden="false" customHeight="false" outlineLevel="0" collapsed="false">
      <c r="A80" s="93" t="s">
        <v>188</v>
      </c>
      <c r="B80" s="94" t="s">
        <v>205</v>
      </c>
      <c r="C80" s="78" t="n">
        <v>3.13775296668814</v>
      </c>
      <c r="D80" s="91" t="n">
        <v>1835.39623767976</v>
      </c>
      <c r="F80" s="92"/>
    </row>
    <row r="81" customFormat="false" ht="12.75" hidden="false" customHeight="false" outlineLevel="0" collapsed="false">
      <c r="A81" s="93" t="s">
        <v>188</v>
      </c>
      <c r="B81" s="94" t="s">
        <v>206</v>
      </c>
      <c r="C81" s="78" t="n">
        <v>0</v>
      </c>
      <c r="D81" s="91" t="n">
        <v>676.198613882017</v>
      </c>
      <c r="F81" s="92"/>
    </row>
    <row r="82" customFormat="false" ht="12.75" hidden="false" customHeight="false" outlineLevel="0" collapsed="false">
      <c r="A82" s="93" t="s">
        <v>188</v>
      </c>
      <c r="B82" s="94" t="s">
        <v>207</v>
      </c>
      <c r="C82" s="78" t="n">
        <v>188.265178001288</v>
      </c>
      <c r="D82" s="91" t="n">
        <v>96.5998019831454</v>
      </c>
      <c r="F82" s="92"/>
    </row>
    <row r="83" customFormat="false" ht="12.75" hidden="false" customHeight="false" outlineLevel="0" collapsed="false">
      <c r="A83" s="93" t="s">
        <v>188</v>
      </c>
      <c r="B83" s="94" t="s">
        <v>209</v>
      </c>
      <c r="C83" s="78" t="n">
        <v>125.510118667526</v>
      </c>
      <c r="D83" s="91" t="n">
        <v>1448.99702974718</v>
      </c>
      <c r="F83" s="92"/>
    </row>
    <row r="84" customFormat="false" ht="12.75" hidden="false" customHeight="false" outlineLevel="0" collapsed="false">
      <c r="A84" s="93" t="s">
        <v>188</v>
      </c>
      <c r="B84" s="94" t="s">
        <v>210</v>
      </c>
      <c r="C84" s="78" t="n">
        <v>0</v>
      </c>
      <c r="D84" s="91" t="n">
        <v>96.5998019831454</v>
      </c>
      <c r="F84" s="92"/>
    </row>
    <row r="85" customFormat="false" ht="12.75" hidden="false" customHeight="false" outlineLevel="0" collapsed="false">
      <c r="A85" s="93" t="s">
        <v>188</v>
      </c>
      <c r="B85" s="94" t="s">
        <v>211</v>
      </c>
      <c r="C85" s="78" t="n">
        <v>31.3775296668814</v>
      </c>
      <c r="D85" s="91" t="n">
        <v>144.899702974718</v>
      </c>
      <c r="F85" s="92"/>
    </row>
    <row r="86" customFormat="false" ht="12.75" hidden="false" customHeight="false" outlineLevel="0" collapsed="false">
      <c r="A86" s="93" t="s">
        <v>188</v>
      </c>
      <c r="B86" s="94" t="s">
        <v>212</v>
      </c>
      <c r="C86" s="78" t="n">
        <v>251.020237335051</v>
      </c>
      <c r="D86" s="91" t="n">
        <v>1738.79643569662</v>
      </c>
      <c r="F86" s="92"/>
    </row>
    <row r="87" customFormat="false" ht="12.75" hidden="false" customHeight="false" outlineLevel="0" collapsed="false">
      <c r="A87" s="93" t="s">
        <v>188</v>
      </c>
      <c r="B87" s="94" t="s">
        <v>213</v>
      </c>
      <c r="C87" s="78" t="n">
        <v>31.3775296668814</v>
      </c>
      <c r="D87" s="91" t="n">
        <v>193.199603966291</v>
      </c>
      <c r="F87" s="92"/>
    </row>
    <row r="88" customFormat="false" ht="12.75" hidden="false" customHeight="false" outlineLevel="0" collapsed="false">
      <c r="A88" s="93" t="s">
        <v>188</v>
      </c>
      <c r="B88" s="94" t="s">
        <v>214</v>
      </c>
      <c r="C88" s="78" t="n">
        <v>0</v>
      </c>
      <c r="D88" s="91" t="n">
        <v>193.199603966291</v>
      </c>
      <c r="F88" s="92"/>
    </row>
    <row r="89" customFormat="false" ht="12.75" hidden="false" customHeight="false" outlineLevel="0" collapsed="false">
      <c r="A89" s="93" t="s">
        <v>188</v>
      </c>
      <c r="B89" s="94" t="s">
        <v>215</v>
      </c>
      <c r="C89" s="78" t="n">
        <v>62.7550593337628</v>
      </c>
      <c r="D89" s="91" t="n">
        <v>1062.5978218146</v>
      </c>
      <c r="F89" s="92"/>
    </row>
    <row r="90" customFormat="false" ht="12.75" hidden="false" customHeight="false" outlineLevel="0" collapsed="false">
      <c r="A90" s="93" t="s">
        <v>188</v>
      </c>
      <c r="B90" s="94" t="s">
        <v>216</v>
      </c>
      <c r="C90" s="78" t="n">
        <v>0</v>
      </c>
      <c r="D90" s="91" t="n">
        <v>0</v>
      </c>
      <c r="F90" s="92"/>
    </row>
    <row r="91" customFormat="false" ht="12.75" hidden="false" customHeight="false" outlineLevel="0" collapsed="false">
      <c r="A91" s="93" t="s">
        <v>188</v>
      </c>
      <c r="B91" s="94" t="s">
        <v>217</v>
      </c>
      <c r="C91" s="78" t="n">
        <v>0</v>
      </c>
      <c r="D91" s="91" t="n">
        <v>0</v>
      </c>
      <c r="F91" s="92"/>
    </row>
    <row r="92" customFormat="false" ht="12.75" hidden="false" customHeight="false" outlineLevel="0" collapsed="false">
      <c r="A92" s="93" t="s">
        <v>188</v>
      </c>
      <c r="B92" s="94" t="s">
        <v>218</v>
      </c>
      <c r="C92" s="78" t="n">
        <v>0</v>
      </c>
      <c r="D92" s="91" t="n">
        <v>0</v>
      </c>
      <c r="F92" s="92"/>
    </row>
    <row r="93" customFormat="false" ht="12.75" hidden="false" customHeight="false" outlineLevel="0" collapsed="false">
      <c r="A93" s="93" t="s">
        <v>188</v>
      </c>
      <c r="B93" s="94" t="s">
        <v>219</v>
      </c>
      <c r="C93" s="78" t="n">
        <v>0</v>
      </c>
      <c r="D93" s="91" t="n">
        <v>289.799405949436</v>
      </c>
      <c r="F93" s="92"/>
    </row>
    <row r="94" customFormat="false" ht="12.75" hidden="false" customHeight="false" outlineLevel="0" collapsed="false">
      <c r="A94" s="93" t="s">
        <v>188</v>
      </c>
      <c r="B94" s="94" t="s">
        <v>220</v>
      </c>
      <c r="C94" s="78" t="n">
        <v>0</v>
      </c>
      <c r="D94" s="91" t="n">
        <v>0</v>
      </c>
      <c r="F94" s="92"/>
    </row>
    <row r="95" customFormat="false" ht="12.75" hidden="false" customHeight="false" outlineLevel="0" collapsed="false">
      <c r="A95" s="93" t="s">
        <v>188</v>
      </c>
      <c r="B95" s="94" t="s">
        <v>221</v>
      </c>
      <c r="C95" s="78" t="n">
        <v>0</v>
      </c>
      <c r="D95" s="91" t="n">
        <v>0</v>
      </c>
      <c r="F95" s="92"/>
    </row>
    <row r="96" customFormat="false" ht="12.75" hidden="false" customHeight="false" outlineLevel="0" collapsed="false">
      <c r="A96" s="93" t="s">
        <v>188</v>
      </c>
      <c r="B96" s="94" t="s">
        <v>222</v>
      </c>
      <c r="C96" s="78" t="n">
        <v>31.3775296668814</v>
      </c>
      <c r="D96" s="91" t="n">
        <v>0</v>
      </c>
      <c r="F96" s="92"/>
    </row>
    <row r="97" customFormat="false" ht="12.75" hidden="false" customHeight="false" outlineLevel="0" collapsed="false">
      <c r="A97" s="93" t="s">
        <v>223</v>
      </c>
      <c r="B97" s="94" t="s">
        <v>224</v>
      </c>
      <c r="C97" s="78" t="n">
        <v>87.0669848642935</v>
      </c>
      <c r="D97" s="91" t="n">
        <v>789.542649192844</v>
      </c>
      <c r="F97" s="92"/>
    </row>
    <row r="98" customFormat="false" ht="12.75" hidden="false" customHeight="false" outlineLevel="0" collapsed="false">
      <c r="A98" s="93" t="s">
        <v>223</v>
      </c>
      <c r="B98" s="94" t="s">
        <v>226</v>
      </c>
      <c r="C98" s="78" t="n">
        <v>174.133969728587</v>
      </c>
      <c r="D98" s="91" t="n">
        <v>1973.85662298211</v>
      </c>
      <c r="F98" s="92"/>
    </row>
    <row r="99" customFormat="false" ht="12.75" hidden="false" customHeight="false" outlineLevel="0" collapsed="false">
      <c r="A99" s="93" t="s">
        <v>223</v>
      </c>
      <c r="B99" s="94" t="s">
        <v>227</v>
      </c>
      <c r="C99" s="78" t="n">
        <v>0</v>
      </c>
      <c r="D99" s="91" t="n">
        <v>789.542649192844</v>
      </c>
      <c r="F99" s="92"/>
    </row>
    <row r="100" customFormat="false" ht="12.75" hidden="false" customHeight="false" outlineLevel="0" collapsed="false">
      <c r="A100" s="93" t="s">
        <v>223</v>
      </c>
      <c r="B100" s="94" t="s">
        <v>228</v>
      </c>
      <c r="C100" s="78" t="n">
        <v>0</v>
      </c>
      <c r="D100" s="91" t="n">
        <v>65.7952207660703</v>
      </c>
      <c r="F100" s="92"/>
    </row>
    <row r="101" customFormat="false" ht="12.75" hidden="false" customHeight="false" outlineLevel="0" collapsed="false">
      <c r="A101" s="93" t="s">
        <v>223</v>
      </c>
      <c r="B101" s="94" t="s">
        <v>230</v>
      </c>
      <c r="C101" s="78" t="n">
        <v>0</v>
      </c>
      <c r="D101" s="91" t="n">
        <v>1315.90441532141</v>
      </c>
      <c r="F101" s="92"/>
    </row>
    <row r="102" customFormat="false" ht="12.75" hidden="false" customHeight="false" outlineLevel="0" collapsed="false">
      <c r="A102" s="93" t="s">
        <v>223</v>
      </c>
      <c r="B102" s="94" t="s">
        <v>231</v>
      </c>
      <c r="C102" s="78" t="n">
        <v>609.468894050054</v>
      </c>
      <c r="D102" s="91" t="n">
        <v>3355.55625906959</v>
      </c>
      <c r="F102" s="92"/>
    </row>
    <row r="103" customFormat="false" ht="12.75" hidden="false" customHeight="false" outlineLevel="0" collapsed="false">
      <c r="A103" s="93" t="s">
        <v>223</v>
      </c>
      <c r="B103" s="94" t="s">
        <v>235</v>
      </c>
      <c r="C103" s="78" t="n">
        <v>0</v>
      </c>
      <c r="D103" s="91" t="n">
        <v>2631.80883064281</v>
      </c>
      <c r="F103" s="92"/>
    </row>
    <row r="104" customFormat="false" ht="12.75" hidden="false" customHeight="false" outlineLevel="0" collapsed="false">
      <c r="A104" s="93" t="s">
        <v>223</v>
      </c>
      <c r="B104" s="94" t="s">
        <v>236</v>
      </c>
      <c r="C104" s="78" t="n">
        <v>0</v>
      </c>
      <c r="D104" s="91" t="n">
        <v>4276.68934979457</v>
      </c>
      <c r="F104" s="92"/>
    </row>
    <row r="105" customFormat="false" ht="12.75" hidden="false" customHeight="false" outlineLevel="0" collapsed="false">
      <c r="A105" s="93" t="s">
        <v>223</v>
      </c>
      <c r="B105" s="94" t="s">
        <v>237</v>
      </c>
      <c r="C105" s="78" t="n">
        <v>43.5334924321467</v>
      </c>
      <c r="D105" s="91" t="n">
        <v>131.590441532141</v>
      </c>
      <c r="F105" s="92"/>
    </row>
    <row r="106" customFormat="false" ht="12.75" hidden="false" customHeight="false" outlineLevel="0" collapsed="false">
      <c r="A106" s="93" t="s">
        <v>223</v>
      </c>
      <c r="B106" s="94" t="s">
        <v>239</v>
      </c>
      <c r="C106" s="78" t="n">
        <v>0</v>
      </c>
      <c r="D106" s="91" t="n">
        <v>65.7952207660703</v>
      </c>
      <c r="F106" s="92"/>
    </row>
    <row r="107" customFormat="false" ht="12.75" hidden="false" customHeight="false" outlineLevel="0" collapsed="false">
      <c r="A107" s="93" t="s">
        <v>223</v>
      </c>
      <c r="B107" s="94" t="s">
        <v>240</v>
      </c>
      <c r="C107" s="78" t="n">
        <v>43.5334924321467</v>
      </c>
      <c r="D107" s="91" t="n">
        <v>2631.80883064281</v>
      </c>
      <c r="F107" s="92"/>
    </row>
    <row r="108" customFormat="false" ht="12.75" hidden="false" customHeight="false" outlineLevel="0" collapsed="false">
      <c r="A108" s="93" t="s">
        <v>223</v>
      </c>
      <c r="B108" s="94" t="s">
        <v>243</v>
      </c>
      <c r="C108" s="78" t="n">
        <v>348.267939457174</v>
      </c>
      <c r="D108" s="91" t="n">
        <v>1052.72353225712</v>
      </c>
      <c r="F108" s="92"/>
    </row>
    <row r="109" customFormat="false" ht="12.75" hidden="false" customHeight="false" outlineLevel="0" collapsed="false">
      <c r="A109" s="93" t="s">
        <v>223</v>
      </c>
      <c r="B109" s="94" t="s">
        <v>246</v>
      </c>
      <c r="C109" s="78" t="n">
        <v>0</v>
      </c>
      <c r="D109" s="91" t="n">
        <v>1315.90441532141</v>
      </c>
      <c r="F109" s="92"/>
    </row>
    <row r="110" customFormat="false" ht="12.75" hidden="false" customHeight="false" outlineLevel="0" collapsed="false">
      <c r="A110" s="93" t="s">
        <v>223</v>
      </c>
      <c r="B110" s="94" t="s">
        <v>247</v>
      </c>
      <c r="C110" s="78" t="n">
        <v>0</v>
      </c>
      <c r="D110" s="91" t="n">
        <v>65.7952207660703</v>
      </c>
      <c r="F110" s="92"/>
    </row>
    <row r="111" customFormat="false" ht="12.75" hidden="false" customHeight="false" outlineLevel="0" collapsed="false">
      <c r="A111" s="93" t="s">
        <v>223</v>
      </c>
      <c r="B111" s="94" t="s">
        <v>248</v>
      </c>
      <c r="C111" s="78" t="n">
        <v>174.133969728587</v>
      </c>
      <c r="D111" s="91" t="n">
        <v>2302.83272681246</v>
      </c>
      <c r="F111" s="92"/>
    </row>
    <row r="112" customFormat="false" ht="12.75" hidden="false" customHeight="false" outlineLevel="0" collapsed="false">
      <c r="A112" s="93" t="s">
        <v>223</v>
      </c>
      <c r="B112" s="94" t="s">
        <v>249</v>
      </c>
      <c r="C112" s="78" t="n">
        <v>87.0669848642935</v>
      </c>
      <c r="D112" s="91" t="n">
        <v>1710.67573991783</v>
      </c>
      <c r="F112" s="92"/>
    </row>
    <row r="113" customFormat="false" ht="12.75" hidden="false" customHeight="false" outlineLevel="0" collapsed="false">
      <c r="A113" s="93" t="s">
        <v>223</v>
      </c>
      <c r="B113" s="94" t="s">
        <v>250</v>
      </c>
      <c r="C113" s="78" t="n">
        <v>0</v>
      </c>
      <c r="D113" s="91" t="n">
        <v>394.771324596422</v>
      </c>
      <c r="F113" s="92"/>
    </row>
    <row r="114" customFormat="false" ht="12.75" hidden="false" customHeight="false" outlineLevel="0" collapsed="false">
      <c r="A114" s="93" t="s">
        <v>223</v>
      </c>
      <c r="B114" s="94" t="s">
        <v>251</v>
      </c>
      <c r="C114" s="78" t="n">
        <v>0</v>
      </c>
      <c r="D114" s="91" t="n">
        <v>65.7952207660703</v>
      </c>
      <c r="F114" s="92"/>
    </row>
    <row r="115" customFormat="false" ht="12.75" hidden="false" customHeight="false" outlineLevel="0" collapsed="false">
      <c r="A115" s="93" t="s">
        <v>223</v>
      </c>
      <c r="B115" s="94" t="s">
        <v>252</v>
      </c>
      <c r="C115" s="78" t="n">
        <v>0</v>
      </c>
      <c r="D115" s="91" t="n">
        <v>65.7952207660703</v>
      </c>
      <c r="F115" s="92"/>
    </row>
    <row r="116" customFormat="false" ht="12.75" hidden="false" customHeight="false" outlineLevel="0" collapsed="false">
      <c r="A116" s="93" t="s">
        <v>223</v>
      </c>
      <c r="B116" s="94" t="s">
        <v>253</v>
      </c>
      <c r="C116" s="78" t="n">
        <v>43.5334924321467</v>
      </c>
      <c r="D116" s="91" t="n">
        <v>3618.73714213387</v>
      </c>
      <c r="F116" s="92"/>
    </row>
    <row r="117" customFormat="false" ht="12.75" hidden="false" customHeight="false" outlineLevel="0" collapsed="false">
      <c r="A117" s="93" t="s">
        <v>223</v>
      </c>
      <c r="B117" s="94" t="s">
        <v>255</v>
      </c>
      <c r="C117" s="78" t="n">
        <v>87.0669848642935</v>
      </c>
      <c r="D117" s="91" t="n">
        <v>1842.26618144997</v>
      </c>
      <c r="F117" s="92"/>
    </row>
    <row r="118" customFormat="false" ht="12.75" hidden="false" customHeight="false" outlineLevel="0" collapsed="false">
      <c r="A118" s="93" t="s">
        <v>223</v>
      </c>
      <c r="B118" s="94" t="s">
        <v>256</v>
      </c>
      <c r="C118" s="78" t="n">
        <v>4.35334924321467</v>
      </c>
      <c r="D118" s="91" t="n">
        <v>131.590441532141</v>
      </c>
      <c r="F118" s="92"/>
    </row>
    <row r="119" customFormat="false" ht="12.75" hidden="false" customHeight="false" outlineLevel="0" collapsed="false">
      <c r="A119" s="93" t="s">
        <v>257</v>
      </c>
      <c r="B119" s="94" t="s">
        <v>258</v>
      </c>
      <c r="C119" s="78" t="n">
        <v>0</v>
      </c>
      <c r="D119" s="91" t="n">
        <v>281.745599764381</v>
      </c>
      <c r="F119" s="92"/>
    </row>
    <row r="120" customFormat="false" ht="12.75" hidden="false" customHeight="false" outlineLevel="0" collapsed="false">
      <c r="A120" s="93" t="s">
        <v>257</v>
      </c>
      <c r="B120" s="94" t="s">
        <v>260</v>
      </c>
      <c r="C120" s="78" t="n">
        <v>0</v>
      </c>
      <c r="D120" s="91" t="n">
        <v>56.3491199528763</v>
      </c>
      <c r="F120" s="92"/>
    </row>
    <row r="121" customFormat="false" ht="12.75" hidden="false" customHeight="false" outlineLevel="0" collapsed="false">
      <c r="A121" s="93" t="s">
        <v>257</v>
      </c>
      <c r="B121" s="94" t="s">
        <v>261</v>
      </c>
      <c r="C121" s="78" t="n">
        <v>49.1780955047615</v>
      </c>
      <c r="D121" s="91" t="n">
        <v>1465.07711877478</v>
      </c>
      <c r="F121" s="92"/>
    </row>
    <row r="122" customFormat="false" ht="12.75" hidden="false" customHeight="false" outlineLevel="0" collapsed="false">
      <c r="A122" s="93" t="s">
        <v>257</v>
      </c>
      <c r="B122" s="94" t="s">
        <v>263</v>
      </c>
      <c r="C122" s="78" t="n">
        <v>295.068573028569</v>
      </c>
      <c r="D122" s="91" t="n">
        <v>0</v>
      </c>
      <c r="F122" s="92"/>
    </row>
    <row r="123" customFormat="false" ht="12.75" hidden="false" customHeight="false" outlineLevel="0" collapsed="false">
      <c r="A123" s="93" t="s">
        <v>257</v>
      </c>
      <c r="B123" s="94" t="s">
        <v>264</v>
      </c>
      <c r="C123" s="78" t="n">
        <v>0</v>
      </c>
      <c r="D123" s="91" t="n">
        <v>563.491199528763</v>
      </c>
      <c r="F123" s="92"/>
    </row>
    <row r="124" customFormat="false" ht="12.75" hidden="false" customHeight="false" outlineLevel="0" collapsed="false">
      <c r="A124" s="93" t="s">
        <v>257</v>
      </c>
      <c r="B124" s="94" t="s">
        <v>265</v>
      </c>
      <c r="C124" s="78" t="n">
        <v>24.5890477523807</v>
      </c>
      <c r="D124" s="91" t="n">
        <v>450.79295962301</v>
      </c>
      <c r="F124" s="92"/>
    </row>
    <row r="125" customFormat="false" ht="12.75" hidden="false" customHeight="false" outlineLevel="0" collapsed="false">
      <c r="A125" s="93" t="s">
        <v>257</v>
      </c>
      <c r="B125" s="94" t="s">
        <v>266</v>
      </c>
      <c r="C125" s="78" t="n">
        <v>0</v>
      </c>
      <c r="D125" s="91" t="n">
        <v>1408.72799882191</v>
      </c>
      <c r="F125" s="92"/>
    </row>
    <row r="126" customFormat="false" ht="12.75" hidden="false" customHeight="false" outlineLevel="0" collapsed="false">
      <c r="A126" s="93" t="s">
        <v>257</v>
      </c>
      <c r="B126" s="94" t="s">
        <v>267</v>
      </c>
      <c r="C126" s="78" t="n">
        <v>49.1780955047615</v>
      </c>
      <c r="D126" s="91" t="n">
        <v>281.745599764381</v>
      </c>
      <c r="F126" s="92"/>
    </row>
    <row r="127" customFormat="false" ht="12.75" hidden="false" customHeight="false" outlineLevel="0" collapsed="false">
      <c r="A127" s="93" t="s">
        <v>257</v>
      </c>
      <c r="B127" s="94" t="s">
        <v>268</v>
      </c>
      <c r="C127" s="78" t="n">
        <v>49.1780955047615</v>
      </c>
      <c r="D127" s="91" t="n">
        <v>3099.20159740819</v>
      </c>
      <c r="F127" s="92"/>
    </row>
    <row r="128" customFormat="false" ht="12.75" hidden="false" customHeight="false" outlineLevel="0" collapsed="false">
      <c r="A128" s="96" t="s">
        <v>257</v>
      </c>
      <c r="B128" s="86" t="s">
        <v>269</v>
      </c>
      <c r="C128" s="97" t="n">
        <v>49.1780955047615</v>
      </c>
      <c r="D128" s="98" t="n">
        <v>1014.28415915177</v>
      </c>
      <c r="F128" s="92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0" man="true" max="16383" min="0"/>
  </rowBreaks>
  <colBreaks count="1" manualBreakCount="1">
    <brk id="5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2023-11-02T09:48:02Z</dcterms:created>
  <dc:creator>Germaine Bronkhorst (ATKB)</dc:creator>
  <dc:description/>
  <dc:language>nl-NL</dc:language>
  <cp:lastModifiedBy/>
  <cp:lastPrinted>2024-01-16T10:26:06Z</cp:lastPrinted>
  <dcterms:modified xsi:type="dcterms:W3CDTF">2026-03-14T21:48:27Z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43571-9408-4177-b9fc-8aa89b201ffe_ActionId">
    <vt:lpwstr>24c7f997-c83c-4932-ae88-67e988cb3d1e</vt:lpwstr>
  </property>
  <property fmtid="{D5CDD505-2E9C-101B-9397-08002B2CF9AE}" pid="3" name="MSIP_Label_2a543571-9408-4177-b9fc-8aa89b201ffe_ContentBits">
    <vt:lpwstr>0</vt:lpwstr>
  </property>
  <property fmtid="{D5CDD505-2E9C-101B-9397-08002B2CF9AE}" pid="4" name="MSIP_Label_2a543571-9408-4177-b9fc-8aa89b201ffe_Enabled">
    <vt:lpwstr>true</vt:lpwstr>
  </property>
  <property fmtid="{D5CDD505-2E9C-101B-9397-08002B2CF9AE}" pid="5" name="MSIP_Label_2a543571-9408-4177-b9fc-8aa89b201ffe_Method">
    <vt:lpwstr>Standard</vt:lpwstr>
  </property>
  <property fmtid="{D5CDD505-2E9C-101B-9397-08002B2CF9AE}" pid="6" name="MSIP_Label_2a543571-9408-4177-b9fc-8aa89b201ffe_Name">
    <vt:lpwstr>Eurofins Internal</vt:lpwstr>
  </property>
  <property fmtid="{D5CDD505-2E9C-101B-9397-08002B2CF9AE}" pid="7" name="MSIP_Label_2a543571-9408-4177-b9fc-8aa89b201ffe_SetDate">
    <vt:lpwstr>2023-12-20T07:50:28Z</vt:lpwstr>
  </property>
  <property fmtid="{D5CDD505-2E9C-101B-9397-08002B2CF9AE}" pid="8" name="MSIP_Label_2a543571-9408-4177-b9fc-8aa89b201ffe_SiteId">
    <vt:lpwstr>c94e2732-29d6-41d6-89d9-08c9798a6601</vt:lpwstr>
  </property>
</Properties>
</file>